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CLINICA MILENIUM\"/>
    </mc:Choice>
  </mc:AlternateContent>
  <xr:revisionPtr revIDLastSave="0" documentId="13_ncr:1_{A4FE93C5-05A4-4645-ABB9-9B6FE19CFC5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98" i="1" l="1"/>
  <c r="B481" i="1"/>
  <c r="D340" i="1"/>
  <c r="D322" i="1"/>
  <c r="D316" i="1"/>
  <c r="D299" i="1"/>
  <c r="D277" i="1"/>
  <c r="D271" i="1"/>
  <c r="D252" i="1"/>
  <c r="D235" i="1"/>
  <c r="D219" i="1"/>
  <c r="D202" i="1"/>
  <c r="D185" i="1"/>
  <c r="B507" i="1" l="1"/>
  <c r="B412" i="1"/>
  <c r="B391" i="1"/>
  <c r="B376" i="1"/>
  <c r="B369" i="1"/>
  <c r="D125" i="1"/>
  <c r="D122" i="1"/>
  <c r="D104" i="1"/>
  <c r="D89" i="1"/>
  <c r="D77" i="1"/>
  <c r="D66" i="1"/>
  <c r="D63" i="1"/>
  <c r="D46" i="1"/>
  <c r="D33" i="1"/>
  <c r="D169" i="1" l="1"/>
  <c r="D162" i="1"/>
  <c r="D150" i="1"/>
  <c r="D135" i="1"/>
  <c r="G126" i="1" l="1"/>
  <c r="G127" i="1" s="1"/>
  <c r="G12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<sst xmlns="http://schemas.openxmlformats.org/spreadsheetml/2006/main" count="967" uniqueCount="820">
  <si>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</si>
  <si>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</si>
  <si>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</si>
  <si>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</si>
  <si>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</si>
  <si>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</si>
  <si>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</si>
  <si>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</si>
  <si>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</si>
  <si>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</si>
  <si>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</si>
  <si>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</si>
  <si>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</si>
  <si>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</si>
  <si>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</si>
  <si>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</si>
  <si>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</si>
  <si>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</si>
  <si>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</si>
  <si>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</si>
  <si>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</si>
  <si>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</si>
  <si>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</si>
  <si>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</si>
  <si>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</si>
  <si>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CANTIDAD</t>
  </si>
  <si>
    <t>Fecha de elaboración:</t>
  </si>
  <si>
    <t xml:space="preserve">Vigente hasta: </t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</si>
  <si>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</si>
  <si>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</si>
  <si>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</si>
  <si>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</si>
  <si>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</si>
  <si>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</si>
  <si>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</si>
  <si>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</si>
  <si>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</si>
  <si>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</si>
  <si>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</si>
  <si>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</si>
  <si>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</si>
  <si>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</si>
  <si>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</si>
  <si>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</si>
  <si>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</si>
  <si>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</si>
  <si>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</si>
  <si>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</si>
  <si>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</si>
  <si>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</si>
  <si>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</si>
  <si>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</si>
  <si>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</si>
  <si>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SEPARADORES MINIHOMMAN FINOS</t>
  </si>
  <si>
    <t>PINES</t>
  </si>
  <si>
    <t>GUBIA PEQUEÑA</t>
  </si>
  <si>
    <t>LLAVE JACOBS</t>
  </si>
  <si>
    <t>INSRUMENTADOR</t>
  </si>
  <si>
    <t xml:space="preserve">CLINICA MILENIUM </t>
  </si>
  <si>
    <t>Cdla. Kennedy Norte Nahím Isaías</t>
  </si>
  <si>
    <t>0990967946001</t>
  </si>
  <si>
    <t>T50022408</t>
  </si>
  <si>
    <t>T50022410</t>
  </si>
  <si>
    <t>2200094139</t>
  </si>
  <si>
    <t>TORNILLO CORTICAL 2.4*10mm TITANIO</t>
  </si>
  <si>
    <t>040240012</t>
  </si>
  <si>
    <t>2200018447</t>
  </si>
  <si>
    <t xml:space="preserve">TORNILLO CORTICAL 2.4*12mm TITANIO </t>
  </si>
  <si>
    <t>030350014</t>
  </si>
  <si>
    <t>2200027256</t>
  </si>
  <si>
    <t xml:space="preserve">TORNILLO CORTICAL 2.4*14mm TITANIO </t>
  </si>
  <si>
    <t>030350016</t>
  </si>
  <si>
    <t>1601030351</t>
  </si>
  <si>
    <t xml:space="preserve">TORNILLO CORTICAL 2.4*16mm TITANIO </t>
  </si>
  <si>
    <t>030350018</t>
  </si>
  <si>
    <t>2200063348</t>
  </si>
  <si>
    <t xml:space="preserve">TORNILLO CORTICAL 2.4*18mm TITANIO  </t>
  </si>
  <si>
    <t>030350020</t>
  </si>
  <si>
    <t>2200061200</t>
  </si>
  <si>
    <t xml:space="preserve">TORNILLO CORTICAL 2.4*20mm TITANIO </t>
  </si>
  <si>
    <t>030350022</t>
  </si>
  <si>
    <t>2200028229</t>
  </si>
  <si>
    <t xml:space="preserve">TORNILLO CORTICAL 2.4*22mm TITANIO </t>
  </si>
  <si>
    <t>040240024</t>
  </si>
  <si>
    <t>2100052150</t>
  </si>
  <si>
    <t xml:space="preserve">TORNILLO CORTICAL 2.4*24mm TITANIO </t>
  </si>
  <si>
    <t>T50022426</t>
  </si>
  <si>
    <t xml:space="preserve">TORNILLO CORTICAL 2.4*26mm TITANIO </t>
  </si>
  <si>
    <t>T50022428</t>
  </si>
  <si>
    <t xml:space="preserve">TORNILLO CORTICAL 2.4*28mm TITANIO </t>
  </si>
  <si>
    <t>T50022712</t>
  </si>
  <si>
    <t xml:space="preserve">TORNILLO CORTICAL 2.7*12mm TITANIO </t>
  </si>
  <si>
    <t>T50022714</t>
  </si>
  <si>
    <t>2200111515</t>
  </si>
  <si>
    <t xml:space="preserve">TORNILLO CORTICAL 2.7*14mm TITANIO  </t>
  </si>
  <si>
    <t>T50022716</t>
  </si>
  <si>
    <t>2200080204</t>
  </si>
  <si>
    <t xml:space="preserve">TORNILLO CORTICAL 2.7*16mm TITANIO </t>
  </si>
  <si>
    <t>T50022718</t>
  </si>
  <si>
    <t>2200112005</t>
  </si>
  <si>
    <t xml:space="preserve">TORNILLO CORTICAL 2.7*18mm TITANIO </t>
  </si>
  <si>
    <t>T50022720</t>
  </si>
  <si>
    <t>2200081171</t>
  </si>
  <si>
    <t xml:space="preserve">TORNILLO CORTICAL 2.7*20mm TITANIO </t>
  </si>
  <si>
    <t>T50022722</t>
  </si>
  <si>
    <t>2200064810</t>
  </si>
  <si>
    <t xml:space="preserve">TORNILLO CORTICAL 2.7*22mm TITANIO </t>
  </si>
  <si>
    <t>T50022724</t>
  </si>
  <si>
    <t>2200044159</t>
  </si>
  <si>
    <t xml:space="preserve">TORNILLO CORTICAL 2.7*24mm TITANIO </t>
  </si>
  <si>
    <t>T50022726</t>
  </si>
  <si>
    <t>2200025060</t>
  </si>
  <si>
    <t xml:space="preserve">TORNILLO CORTICAL 2.7*26mm TITANIO </t>
  </si>
  <si>
    <t>TORNILLO CORTICAL 2.7*28mm TITANIO</t>
  </si>
  <si>
    <t>T50022430</t>
  </si>
  <si>
    <t>TORNILLO CORTICAL 2.7*30mm TITANIO</t>
  </si>
  <si>
    <t>TI-SF-100V.206</t>
  </si>
  <si>
    <t>TORNILLO DE BLOQUEO 2.4*06mm TITANIO</t>
  </si>
  <si>
    <t>TI-SF-100V.208</t>
  </si>
  <si>
    <t>TORNILLO DE BLOQUEO 2.4*08mm TITANIO</t>
  </si>
  <si>
    <t>TI-SF-100V.210</t>
  </si>
  <si>
    <t xml:space="preserve">TORNILLO DE BLOQUEO  2.4*10mm TITANIO </t>
  </si>
  <si>
    <t>TI-SF-100V.212</t>
  </si>
  <si>
    <t xml:space="preserve">TORNILLO DE BLOQUEO  2.4*12mm TITANIO </t>
  </si>
  <si>
    <t>TI-SF-100V.214</t>
  </si>
  <si>
    <t xml:space="preserve">TORNILLO DE BLOQUEO  2.4*14mm TITANIO </t>
  </si>
  <si>
    <t>TI-SF-100V.216</t>
  </si>
  <si>
    <t xml:space="preserve">TORNILLO DE BLOQUEO  2.4*16mm TITANIO </t>
  </si>
  <si>
    <t>TI-SF-100V.218</t>
  </si>
  <si>
    <t xml:space="preserve">TORNILLO DE BLOQUEO  2.4*18mm TITANIO </t>
  </si>
  <si>
    <t>TI-SF-100V.220</t>
  </si>
  <si>
    <t xml:space="preserve">TORNILLO DE BLOQUEO  2.4*20mm TITANIO </t>
  </si>
  <si>
    <t>TI-SF-100V.222</t>
  </si>
  <si>
    <t xml:space="preserve">TORNILLO DE BLOQUEO  2.4*22mm TITANIO </t>
  </si>
  <si>
    <t>TI-SF-100V.224</t>
  </si>
  <si>
    <t xml:space="preserve">TORNILLO DE BLOQUEO  2.4*24mm TITANIO </t>
  </si>
  <si>
    <t>TI-SF-100V.226</t>
  </si>
  <si>
    <t xml:space="preserve">TORNILLO DE BLOQUEO  2.4*26mm TITANIO </t>
  </si>
  <si>
    <t>TI-SF-100V.228</t>
  </si>
  <si>
    <t xml:space="preserve">TORNILLO DE BLOQUEO 2.4*28mm TITANIO </t>
  </si>
  <si>
    <t>50102110</t>
  </si>
  <si>
    <t xml:space="preserve">TORNILLO DE BLOQUEO 2.7*10mm TITANIO </t>
  </si>
  <si>
    <t>50102112</t>
  </si>
  <si>
    <t xml:space="preserve">TORNILLO DE BLOQUEO 2.7*12mm TITANIO </t>
  </si>
  <si>
    <t>50102114</t>
  </si>
  <si>
    <t xml:space="preserve">TORNILLO DE BLOQUEO 2.7*14mm TITANIO </t>
  </si>
  <si>
    <t>50102116</t>
  </si>
  <si>
    <t>2100026255</t>
  </si>
  <si>
    <t xml:space="preserve">TORNILLO DE BLOQUEO 2.7*16mm TITANIO </t>
  </si>
  <si>
    <t>50102118</t>
  </si>
  <si>
    <t xml:space="preserve">TORNILLO DE BLOQUEO 2.7*18mm TITANIO </t>
  </si>
  <si>
    <t>50102120</t>
  </si>
  <si>
    <t xml:space="preserve">TORNILLO DE BLOQUEO 2.7*20mm TITANIO </t>
  </si>
  <si>
    <t>50102122</t>
  </si>
  <si>
    <t>2100046556</t>
  </si>
  <si>
    <t xml:space="preserve">TORNILLO DE BLOQUEO 2.7*22mm TITANIO </t>
  </si>
  <si>
    <t>50102124</t>
  </si>
  <si>
    <t>2000115332</t>
  </si>
  <si>
    <t xml:space="preserve">TORNILLO DE BLOQUEO 2.7*24mm TITANIO </t>
  </si>
  <si>
    <t>50102126</t>
  </si>
  <si>
    <t xml:space="preserve">TORNILLO DE BLOQUEO 2.7*26mm TITANIO </t>
  </si>
  <si>
    <t>50102128</t>
  </si>
  <si>
    <t>TORNILLO DE BLOQUEO 2.7 *28mm TITANIO</t>
  </si>
  <si>
    <t>Tc50102730</t>
  </si>
  <si>
    <t>TORNILLO DE BLOQUEO 2.7 *30mm TITANIO</t>
  </si>
  <si>
    <t>CLAVIJA KIRSCHNER 1.0*250 MM ACERO</t>
  </si>
  <si>
    <t>185.766</t>
  </si>
  <si>
    <t>201226140</t>
  </si>
  <si>
    <t>CLAVIJA KIRSCHNER 1.2*250 MM ACERO</t>
  </si>
  <si>
    <t>210127381</t>
  </si>
  <si>
    <t>CLAVIJA KIRSCHNER 1.5*250 MM ACERO</t>
  </si>
  <si>
    <t>185.769</t>
  </si>
  <si>
    <t>201022788</t>
  </si>
  <si>
    <t>CLAVIJA KIRSCHNER 1.6*250mm ACERO</t>
  </si>
  <si>
    <t>185.770</t>
  </si>
  <si>
    <t>210127383</t>
  </si>
  <si>
    <t>CLAVIJA KIRSCHNER 1.8*250 MM ACERO</t>
  </si>
  <si>
    <t>185.771</t>
  </si>
  <si>
    <t>210127384</t>
  </si>
  <si>
    <t>CLAVIJA KIRSCHNER 2.0*250mm ACERO</t>
  </si>
  <si>
    <t>DESPERIO FINO CURVO</t>
  </si>
  <si>
    <t xml:space="preserve">DOBLADORAS DE PLACA </t>
  </si>
  <si>
    <t>ENTREGADO POR:</t>
  </si>
  <si>
    <t>RECIBIDO POR:</t>
  </si>
  <si>
    <t>VERIFICADO POR:</t>
  </si>
  <si>
    <t>OBSERVACIONES:</t>
  </si>
  <si>
    <t xml:space="preserve">DR. CABEZAS </t>
  </si>
  <si>
    <t xml:space="preserve">2:00PM </t>
  </si>
  <si>
    <t>H1L-ST-006</t>
  </si>
  <si>
    <t>J200821-L048</t>
  </si>
  <si>
    <t>STRAIGHT H1 LOCKING PLATE 6HOLES 0.6T</t>
  </si>
  <si>
    <t>H1L-YP-006</t>
  </si>
  <si>
    <t>J220823-L050</t>
  </si>
  <si>
    <t>H1 LOCKING Y PLATE 6HOLES 0.6T</t>
  </si>
  <si>
    <t>H1L-ST-108</t>
  </si>
  <si>
    <t>J211206-L018</t>
  </si>
  <si>
    <t>STRAIGHT H1 LOCKING PLATE 8HOLES 0.6T</t>
  </si>
  <si>
    <t>H1L-ST-104</t>
  </si>
  <si>
    <t>J211206-L014</t>
  </si>
  <si>
    <t>STRAIGHT H1 LOCKING PLATE 4HOLES 0.6T</t>
  </si>
  <si>
    <t>H1L-TP-007</t>
  </si>
  <si>
    <t>J220809-L038</t>
  </si>
  <si>
    <t>H1 LOCKING T PLATE 7HOLES 0.6T</t>
  </si>
  <si>
    <t>H1L-LL-005</t>
  </si>
  <si>
    <t>R200303-L029</t>
  </si>
  <si>
    <t>H1 LOCKIND L PLATE 5HOLES LEFT 0.6T</t>
  </si>
  <si>
    <t>H1L-LR-005</t>
  </si>
  <si>
    <t>J200317-L075</t>
  </si>
  <si>
    <t>H1 LOCKING L PLATE 5HOLES RIGHT 0.6T</t>
  </si>
  <si>
    <t>H1L-QD-112</t>
  </si>
  <si>
    <t>J220809-L037</t>
  </si>
  <si>
    <t>MATRIX H1 LOCKING PLATE 12HOLES 0.6T</t>
  </si>
  <si>
    <t>H1L-ST-016</t>
  </si>
  <si>
    <t>R211227-L021</t>
  </si>
  <si>
    <t>STRAIGHT H1 LOCKING PLATE 16HOLES 0.6T</t>
  </si>
  <si>
    <t>15L-HF-006</t>
  </si>
  <si>
    <t>J201019-L014</t>
  </si>
  <si>
    <t>LOCKING SCREW 1.5*6mm</t>
  </si>
  <si>
    <t>15L-HF-007</t>
  </si>
  <si>
    <t>J201019-L015</t>
  </si>
  <si>
    <t>LOCKING SCREW 1.5*7mm</t>
  </si>
  <si>
    <t>15L-HF-008</t>
  </si>
  <si>
    <t>J210804-L047</t>
  </si>
  <si>
    <t>LOCKING SCREW 1.5*8mm</t>
  </si>
  <si>
    <t>15L-HF-009</t>
  </si>
  <si>
    <t>J210804-L046</t>
  </si>
  <si>
    <t>LOCKING SCREW 1.5*9mm</t>
  </si>
  <si>
    <t>15L-HF-010</t>
  </si>
  <si>
    <t>J211015-L039</t>
  </si>
  <si>
    <t>LOCKING SCREW 1.5*10mm</t>
  </si>
  <si>
    <t>15L-HF-011</t>
  </si>
  <si>
    <t>J200821-L033</t>
  </si>
  <si>
    <t>LOCKING SCREW 1.5*11mm</t>
  </si>
  <si>
    <t>15L-HF-012</t>
  </si>
  <si>
    <t>J220720-L059</t>
  </si>
  <si>
    <t>LOCKING SCREW 1.5*12mm</t>
  </si>
  <si>
    <t>15L-HF-013</t>
  </si>
  <si>
    <t>J200728-L071</t>
  </si>
  <si>
    <t>LOCKING SCREW 1.5*13mm</t>
  </si>
  <si>
    <t>15L-HF-014</t>
  </si>
  <si>
    <t>R200305-L030</t>
  </si>
  <si>
    <t>LOCKING SCREW 1.5*14mm</t>
  </si>
  <si>
    <t>15L-HF-016</t>
  </si>
  <si>
    <t>J200317-L061</t>
  </si>
  <si>
    <t>LOCKING SCREW 1.5*16mm</t>
  </si>
  <si>
    <t>15L-HF-018</t>
  </si>
  <si>
    <t>LOCKING SCREW 1.5*18mm</t>
  </si>
  <si>
    <t>15L-HF-020</t>
  </si>
  <si>
    <t>LOCKING SCREW 1.5*20mm</t>
  </si>
  <si>
    <t>15-HC-006</t>
  </si>
  <si>
    <t>J201019-L028</t>
  </si>
  <si>
    <t xml:space="preserve">NON-LOCKING SCREWS 1.5*06mm </t>
  </si>
  <si>
    <t>J221212-L035</t>
  </si>
  <si>
    <t>15-HC-007</t>
  </si>
  <si>
    <t>J220809-L070</t>
  </si>
  <si>
    <t>NON-LOCKING SCREWS 1.5*7mm</t>
  </si>
  <si>
    <t>15-HC-008</t>
  </si>
  <si>
    <t>J220809-L043</t>
  </si>
  <si>
    <t xml:space="preserve">NON-LOCKING SCREWS 1.5*8mm </t>
  </si>
  <si>
    <t>15-HC-009</t>
  </si>
  <si>
    <t>J220829-L014</t>
  </si>
  <si>
    <t>NON-LOCKING SCREWS 1.5*9mm</t>
  </si>
  <si>
    <t>15-HC-010</t>
  </si>
  <si>
    <t>J220810-058</t>
  </si>
  <si>
    <t xml:space="preserve">NON-LOCKING SCREWS 1.5*10mm </t>
  </si>
  <si>
    <t>15-HC-011</t>
  </si>
  <si>
    <t>NON-LOCKING SCREWS 1.5*11mm</t>
  </si>
  <si>
    <t>J221116-L040</t>
  </si>
  <si>
    <t>15-HC-012</t>
  </si>
  <si>
    <t>J201020-L018</t>
  </si>
  <si>
    <t>NON-LOCKING SCREWS 1.5*12mm</t>
  </si>
  <si>
    <t>15-HC-013</t>
  </si>
  <si>
    <t>J200317-L066</t>
  </si>
  <si>
    <t>NON-LOCKING SCREWS 1.5*13mm</t>
  </si>
  <si>
    <t>15-HC-014</t>
  </si>
  <si>
    <t>J201020-L020</t>
  </si>
  <si>
    <t>NON-LOCKING SCREWS 1.5*14mm</t>
  </si>
  <si>
    <t>15-HC-016</t>
  </si>
  <si>
    <t>J200514-L005</t>
  </si>
  <si>
    <t>NON-LOCKING SCREWS 1.5*16mm</t>
  </si>
  <si>
    <t>15-HC-018</t>
  </si>
  <si>
    <t>J200317-L068</t>
  </si>
  <si>
    <t>NON-LOCKING SCREWS 1.5*18mm</t>
  </si>
  <si>
    <t>15-HC-020</t>
  </si>
  <si>
    <t>NON-LOCKING SCREWS 1.5*20mm</t>
  </si>
  <si>
    <t>18-HC-006</t>
  </si>
  <si>
    <t>R200403-L002</t>
  </si>
  <si>
    <t>NON-LOCKING SCREWS 1.8*6mm</t>
  </si>
  <si>
    <t>18-HC-010</t>
  </si>
  <si>
    <t>J200514-L006</t>
  </si>
  <si>
    <t>NON-LOCKING SCREWS 1.8*10mm</t>
  </si>
  <si>
    <t>H2L-LL-006</t>
  </si>
  <si>
    <t>J200521-L003</t>
  </si>
  <si>
    <t>L PLATE(LEFT) 6HOLES 1.0T</t>
  </si>
  <si>
    <t>H2L-LR-006</t>
  </si>
  <si>
    <t>J200728-L086</t>
  </si>
  <si>
    <t>L PLATE(RIGHT) 6HOLES 1.0T</t>
  </si>
  <si>
    <t>H2L-YP-006</t>
  </si>
  <si>
    <t>J200521-L002</t>
  </si>
  <si>
    <t>Y PLATE 6HOLES 1.0T</t>
  </si>
  <si>
    <t>H2L-TP-007</t>
  </si>
  <si>
    <t>J201125-L018</t>
  </si>
  <si>
    <t>TP PLATE 7HOLES 1.0T</t>
  </si>
  <si>
    <t>H2L-ST-004</t>
  </si>
  <si>
    <t>J201022-L117</t>
  </si>
  <si>
    <t>STRAIGHT 4HOLES 1.0T</t>
  </si>
  <si>
    <t>H2L-ST-006</t>
  </si>
  <si>
    <t>J210202-L030</t>
  </si>
  <si>
    <t>STRAIGHT 6HOLES 1.0T</t>
  </si>
  <si>
    <t>H2L-YP-007</t>
  </si>
  <si>
    <t>J201022-L148</t>
  </si>
  <si>
    <t>Y PLATE 7HOLES 1.0T</t>
  </si>
  <si>
    <t>J220927-L091</t>
  </si>
  <si>
    <t>H2L-QD-006</t>
  </si>
  <si>
    <t>J210416-L126</t>
  </si>
  <si>
    <t>SQUARE 6HOLES 1.0T</t>
  </si>
  <si>
    <t>H2L-ST-016</t>
  </si>
  <si>
    <t>J210928-L123</t>
  </si>
  <si>
    <t>STRAIGHT 16HOLES 1.0T</t>
  </si>
  <si>
    <t>H2L-ST-104-13</t>
  </si>
  <si>
    <t>J200424-L057</t>
  </si>
  <si>
    <t>STRAIGHT 4HOLES 1.3T</t>
  </si>
  <si>
    <t>H2L-ST-105-13</t>
  </si>
  <si>
    <t>J200424-L058</t>
  </si>
  <si>
    <t>STRAIGHT 5HOLES 1.3T</t>
  </si>
  <si>
    <t>H2L-ST-106-13</t>
  </si>
  <si>
    <t>J200424-L063</t>
  </si>
  <si>
    <t>STRAIGHT 6HOLES 1.3T</t>
  </si>
  <si>
    <t>H2L-TP-006-13</t>
  </si>
  <si>
    <t>R200609-L015</t>
  </si>
  <si>
    <t>TP PLATE 7HOLES 1.3T</t>
  </si>
  <si>
    <t>H2L-TP-010-13</t>
  </si>
  <si>
    <t>J220112-L071</t>
  </si>
  <si>
    <t>TP PLATE 10HOLES 1.3T</t>
  </si>
  <si>
    <t>H2L-ST-208-13</t>
  </si>
  <si>
    <t>J200424-L059</t>
  </si>
  <si>
    <t>STRAIGHT 8HOLES 1.3T</t>
  </si>
  <si>
    <t>H2L-LL-006-13</t>
  </si>
  <si>
    <t>J211220-L067</t>
  </si>
  <si>
    <t>L PLATE(LEFT) 6HOLES 1.3T</t>
  </si>
  <si>
    <t>H2L-LR-006-13</t>
  </si>
  <si>
    <t>R200609-L016</t>
  </si>
  <si>
    <t>L PLATE(RIGHT) 6HOLES 1.3T</t>
  </si>
  <si>
    <t>H2L-LL-010-13</t>
  </si>
  <si>
    <t>J200424-L062</t>
  </si>
  <si>
    <t>L PLATE(LEFT) 10HOLES 1.3T</t>
  </si>
  <si>
    <t>H2L-LR-010-13</t>
  </si>
  <si>
    <t>J200424-L066</t>
  </si>
  <si>
    <t>L PLATE(RIGHT) 10HOLES 1.3T</t>
  </si>
  <si>
    <t>1724</t>
  </si>
  <si>
    <t>MINIPLACA BLOQ. MANO&amp;PIE RECTA 2.0mm *9 ORF.TIT.</t>
  </si>
  <si>
    <t>20L-HF-006</t>
  </si>
  <si>
    <t>J190321-L087</t>
  </si>
  <si>
    <t>LOCKING SCREW 2.0*6mm</t>
  </si>
  <si>
    <t>20L-HF-007</t>
  </si>
  <si>
    <t>R200422-L017</t>
  </si>
  <si>
    <t>LOCKING SCREW 2.0*7mm</t>
  </si>
  <si>
    <t>20L-HF-008</t>
  </si>
  <si>
    <t>J220728-L132</t>
  </si>
  <si>
    <t>LOCKING SCREW 2.0*8mm</t>
  </si>
  <si>
    <t>20L-HF-009</t>
  </si>
  <si>
    <t>J220720-L019</t>
  </si>
  <si>
    <t>LOCKING SCREW 2.0*9mm</t>
  </si>
  <si>
    <t>20L-HF-010</t>
  </si>
  <si>
    <t>J220720-L064</t>
  </si>
  <si>
    <t>LOCKING SCREW 2.0*10mm</t>
  </si>
  <si>
    <t>20L-HF-011</t>
  </si>
  <si>
    <t>J190110-L003</t>
  </si>
  <si>
    <t>LOCKING SCREW 2.0*11mm</t>
  </si>
  <si>
    <t>20L-HF-012</t>
  </si>
  <si>
    <t>J220713-L098</t>
  </si>
  <si>
    <t xml:space="preserve">LOCKING SCREW 2.0*12mm </t>
  </si>
  <si>
    <t>J221027-L033</t>
  </si>
  <si>
    <t>20L-HF-013</t>
  </si>
  <si>
    <t>J200821-L044</t>
  </si>
  <si>
    <t xml:space="preserve">LOCKING SCREW 2.0*13mm </t>
  </si>
  <si>
    <t>J221027-L034</t>
  </si>
  <si>
    <t>20L-HF-014</t>
  </si>
  <si>
    <t>J220727-L071</t>
  </si>
  <si>
    <t>LOCKING SCREW 2.0*14mm</t>
  </si>
  <si>
    <t>20L-HF-016</t>
  </si>
  <si>
    <t>J220720-L065</t>
  </si>
  <si>
    <t xml:space="preserve">LOCKING SCREW 2.0*16mm </t>
  </si>
  <si>
    <t>20L-HF-018</t>
  </si>
  <si>
    <t>J200514-L012</t>
  </si>
  <si>
    <t xml:space="preserve">LOCKING SCREW 2.0*18mm </t>
  </si>
  <si>
    <t>20L-HF-020</t>
  </si>
  <si>
    <t>R200326-L007</t>
  </si>
  <si>
    <t>LOCKING SCREW 2.0*20mm</t>
  </si>
  <si>
    <t>20-HF-006</t>
  </si>
  <si>
    <t>J190219-l075</t>
  </si>
  <si>
    <t xml:space="preserve">NON-LOCKING SCREW 2.0*6mm </t>
  </si>
  <si>
    <t>20-HF-007</t>
  </si>
  <si>
    <t>NON-LOCKING SCREW 2.0*7mm</t>
  </si>
  <si>
    <t>20-HF-008</t>
  </si>
  <si>
    <t xml:space="preserve">NON-LOCKING SCREW 2.0*8mm </t>
  </si>
  <si>
    <t>J221027-L031</t>
  </si>
  <si>
    <t>20-HF-009</t>
  </si>
  <si>
    <t xml:space="preserve">NON-LOCKING SCREW 2.0*9mm </t>
  </si>
  <si>
    <t>20-HF-010</t>
  </si>
  <si>
    <t>J230120-L026</t>
  </si>
  <si>
    <t xml:space="preserve">NON-LOCKING SCREW 2.0*10mm </t>
  </si>
  <si>
    <t>20-HF-011</t>
  </si>
  <si>
    <t>J220927-L098</t>
  </si>
  <si>
    <t>NON-LOCKING SCREW 2.0*11mm</t>
  </si>
  <si>
    <t>20-HF-012</t>
  </si>
  <si>
    <t>J221212-L038</t>
  </si>
  <si>
    <t xml:space="preserve">NON-LOCKING SCREW 2.0*12mm </t>
  </si>
  <si>
    <t>20-HF-013</t>
  </si>
  <si>
    <t>NON-LOCKING SCREW 2.0*13mm</t>
  </si>
  <si>
    <t>20-HF-014</t>
  </si>
  <si>
    <t xml:space="preserve">NON-LOCKING SCREW 2.0*14mm </t>
  </si>
  <si>
    <t>J221212-L039</t>
  </si>
  <si>
    <t>20-HF-016</t>
  </si>
  <si>
    <t>NON-LOCKING SCREW 2.0*16mm</t>
  </si>
  <si>
    <t>20-HF-018</t>
  </si>
  <si>
    <t>R200728-L029</t>
  </si>
  <si>
    <t>NON-LOCKING SCREW 2.0*18mm</t>
  </si>
  <si>
    <t>20-HF-020</t>
  </si>
  <si>
    <t>J200728-L082</t>
  </si>
  <si>
    <t xml:space="preserve">NON-LOCKING SCREW 2.0*20mm </t>
  </si>
  <si>
    <t>23-FC-006</t>
  </si>
  <si>
    <t>J200317-L073</t>
  </si>
  <si>
    <t xml:space="preserve">NON-LOCKING SCREW 2.3*6mm </t>
  </si>
  <si>
    <t>23-FC-010</t>
  </si>
  <si>
    <t>J200514-L014</t>
  </si>
  <si>
    <t xml:space="preserve">NON-LOCKING SCREW 2.3*10mm </t>
  </si>
  <si>
    <t>185,765</t>
  </si>
  <si>
    <t>CLAVIJA KIRSCHNER 1.0*250MM ACERO</t>
  </si>
  <si>
    <t>CLAVIJA KIRSCHNER 1.2*250mm ACERO</t>
  </si>
  <si>
    <t>185.767</t>
  </si>
  <si>
    <t>CLAVIJA KIRSCHNER 1.5*250mm ACERO</t>
  </si>
  <si>
    <t>CLAVIJA KIRSCHNER 1.8*250mm ACERO</t>
  </si>
  <si>
    <t>MANO ARIX # 1</t>
  </si>
  <si>
    <t xml:space="preserve">INSTRUMENTAL MANO ARIX 1.5 </t>
  </si>
  <si>
    <t>BROCA DE 1.2MM VERDE</t>
  </si>
  <si>
    <t>BROCA DE 1.6MM VERDE</t>
  </si>
  <si>
    <t>GUIA DE BLOQUEO</t>
  </si>
  <si>
    <t xml:space="preserve">GUIA DE ANGULO VARIABLE </t>
  </si>
  <si>
    <t xml:space="preserve"> ATORNILLADORES ANCLAJES  RAPIDO </t>
  </si>
  <si>
    <t>INSTRUMENTAL MANO ARIX 2.0</t>
  </si>
  <si>
    <t xml:space="preserve">BROCA DE 1.6MM AZUL </t>
  </si>
  <si>
    <t xml:space="preserve">BROCA DE 2.1MM AZUL </t>
  </si>
  <si>
    <t xml:space="preserve">ATORNILLADORES ANCLAJES  RAPIDO </t>
  </si>
  <si>
    <t xml:space="preserve">INSTRUMENTAL MANO ARIX </t>
  </si>
  <si>
    <t xml:space="preserve">MEDIDOR DE PROFUNDIDAD 1.5MM </t>
  </si>
  <si>
    <t xml:space="preserve">GUIA DE BROCA 1.2/1.5MM </t>
  </si>
  <si>
    <t>MANGO DE ATORNILLADOR</t>
  </si>
  <si>
    <t xml:space="preserve">MEDIDOR DE PROFUNDIDAD 2.0MM </t>
  </si>
  <si>
    <t xml:space="preserve">GUIA DE BROCA 2.0/2.3MM </t>
  </si>
  <si>
    <t xml:space="preserve">PINZA DE SUJECCION </t>
  </si>
  <si>
    <t>DISECTOR ROMO</t>
  </si>
  <si>
    <t>DISECTOR CURVO</t>
  </si>
  <si>
    <t>GANCHOS SIMPLES</t>
  </si>
  <si>
    <t>GANCHOS DOBLES</t>
  </si>
  <si>
    <t>INSTRUMENTAL MINIBASICO MANO</t>
  </si>
  <si>
    <t>SEPARADORES SENN MILLER</t>
  </si>
  <si>
    <t>RETRACTORES ASA FINA</t>
  </si>
  <si>
    <t>CURETA</t>
  </si>
  <si>
    <t>SEPARADORES MINI HOMMAN</t>
  </si>
  <si>
    <t>DESPERIO FINO ROMO</t>
  </si>
  <si>
    <t>DISECTOR DOBLE</t>
  </si>
  <si>
    <t xml:space="preserve">OSTEOTOMO FINO </t>
  </si>
  <si>
    <t>PINZA SUJETA TORNILLOS</t>
  </si>
  <si>
    <t>SEPARADOR AUTOESTATICO</t>
  </si>
  <si>
    <t>CLAN DE LAYNE MINI</t>
  </si>
  <si>
    <t>PINZA REDUCTORA CANGREJO MINI ARANDELA</t>
  </si>
  <si>
    <t>PINZA EN PUNTA MEDIANA</t>
  </si>
  <si>
    <t>PINZA EN PUNTA PEQUEÑA</t>
  </si>
  <si>
    <t>PINZA REDUCTORA EN CREMALLERA</t>
  </si>
  <si>
    <t>CORTADOR PEQUEÑO</t>
  </si>
  <si>
    <t xml:space="preserve">PINZA DE SUJECCION TIPO ALLYX </t>
  </si>
  <si>
    <t>ADAPTADORES ANCLAJE RAPIDO</t>
  </si>
  <si>
    <t>INTERCAMBIADOR DE BATERIA</t>
  </si>
  <si>
    <t>MALETA TRANSPORTE</t>
  </si>
  <si>
    <t>INSTRUMENTAL MINIBASICO MANO ARIX</t>
  </si>
  <si>
    <t>DESCRIPCION</t>
  </si>
  <si>
    <t>DEPSERIOS FINOS</t>
  </si>
  <si>
    <t>BATERIAS #1 y #2</t>
  </si>
  <si>
    <t>MOTOR ACCULAN #2</t>
  </si>
  <si>
    <t>1496</t>
  </si>
  <si>
    <t>MINIPLACA BLOQ. MANO&amp;PIE RECTA 1.5mm *2 ORF.TIT.</t>
  </si>
  <si>
    <t>1498</t>
  </si>
  <si>
    <t>MINIPLACA BLOQ. MANO&amp;PIE RECTA 1.5mm *4 ORF.TIT.</t>
  </si>
  <si>
    <t>1497</t>
  </si>
  <si>
    <t>MINIPLACA BLOQ. MANO&amp;PIE RECTA 1.5mm *5 ORF.TIT.</t>
  </si>
  <si>
    <t>1499</t>
  </si>
  <si>
    <t>MINIPLACA BLOQ. MANO&amp;PIE RECTA 1.5mm *6 ORF.TIT.</t>
  </si>
  <si>
    <t>1500</t>
  </si>
  <si>
    <t>MINIPLACA BLOQ. MANO&amp;PIE RECTA 1.5mm *8 ORF.TIT.</t>
  </si>
  <si>
    <t>1514</t>
  </si>
  <si>
    <t>MINIPLACA BLOQ. MANO&amp;PIE RECTA 1.5mm *12 ORF.TIT.</t>
  </si>
  <si>
    <t>1504</t>
  </si>
  <si>
    <t>MINIPLACA BLOQ. MANO&amp;PIE EN T 1.5mm 8*3 ORF.TIT.</t>
  </si>
  <si>
    <t>1505</t>
  </si>
  <si>
    <t>MINIPLACA BLOQ. MANO&amp;PIE EN T 1.5mm 8*4 ORF.TIT.</t>
  </si>
  <si>
    <t>1506</t>
  </si>
  <si>
    <t>MINIPLACA BLOQ. MANO&amp;PIE EN Y 1.5mm 3*2 ORF.TIT.</t>
  </si>
  <si>
    <t>1507</t>
  </si>
  <si>
    <t>MINIPLACA BLOQ. MANO&amp;PIE EN X 1.5mm 3*4 ORF.TIT.</t>
  </si>
  <si>
    <t>1508</t>
  </si>
  <si>
    <t>MINIPLACA BLOQ. MANO&amp;PIE EN L 1.5mm 2*2 ORF.TIT.</t>
  </si>
  <si>
    <t>1509</t>
  </si>
  <si>
    <t>MINIPLACA BLOQ. MANO&amp;PIE EN L 1.5mm 3*2 ORF.TIT.</t>
  </si>
  <si>
    <t>1510</t>
  </si>
  <si>
    <t>MINIPLACA BLOQ. MANO&amp;PIE EN Z 1.5mm 2*2 ORF.TIT.</t>
  </si>
  <si>
    <t>A92480823</t>
  </si>
  <si>
    <t>MINIPLACA BLOQ. MANO&amp;PIE MATRIX 1.5mm 2*4 ORF.DER TIT.</t>
  </si>
  <si>
    <t>1512</t>
  </si>
  <si>
    <t>MINIPLACA BLOQ. MANO&amp;PIE MATRIX 1.5mm 2*4 ORF.IZQ TIT.</t>
  </si>
  <si>
    <t>T500015006</t>
  </si>
  <si>
    <t xml:space="preserve">TORNILLO CORTICAL 1.5*6mm TITANIO </t>
  </si>
  <si>
    <t>T500015007</t>
  </si>
  <si>
    <t xml:space="preserve">TORNILLO CORTICAL 1.5*7mm TITANIO </t>
  </si>
  <si>
    <t>T500015008</t>
  </si>
  <si>
    <t xml:space="preserve">TORNILLO CORTICAL 1.5*8mm TITANIO </t>
  </si>
  <si>
    <t>T500015009</t>
  </si>
  <si>
    <t xml:space="preserve">TORNILLO CORTICAL 1.5*9mm TITANIO </t>
  </si>
  <si>
    <t>T500015010</t>
  </si>
  <si>
    <t xml:space="preserve">TORNILLO CORTICAL 1.5*10mm TITANIO </t>
  </si>
  <si>
    <t>T500015011</t>
  </si>
  <si>
    <t xml:space="preserve">TORNILLO CORTICAL 1.5*11mm TITANIO </t>
  </si>
  <si>
    <t>T500015012</t>
  </si>
  <si>
    <t>TORNILLO CORTICAL 1.5*12mm TITANIO</t>
  </si>
  <si>
    <t>T500015014</t>
  </si>
  <si>
    <t>TORNILLO CORTICAL 1.5*14mm TITANIO</t>
  </si>
  <si>
    <t>T500015015</t>
  </si>
  <si>
    <t>TORNILLO CORTICAL 1.5*15mm TITANIO</t>
  </si>
  <si>
    <t>T500015016</t>
  </si>
  <si>
    <t>TORNILLO CORTICAL 1.5*16mm TITANIO</t>
  </si>
  <si>
    <t>T500015018</t>
  </si>
  <si>
    <t xml:space="preserve">TORNILLO CORTICAL 1.5*18mm TITANIO </t>
  </si>
  <si>
    <t>T500015020</t>
  </si>
  <si>
    <t>TORNILLO CORTICAL 1.5*20mm TITANIO</t>
  </si>
  <si>
    <t>T500015022</t>
  </si>
  <si>
    <t xml:space="preserve">TORNILLO CORTICAL 1.5*22mm TITANIO </t>
  </si>
  <si>
    <t>T500015024</t>
  </si>
  <si>
    <t>TORNILLO CORTICAL 1.5*24mm TITANIO</t>
  </si>
  <si>
    <t>T500015026</t>
  </si>
  <si>
    <t>TORNILLO CORTICAL 1.5*26mm TITANIO</t>
  </si>
  <si>
    <t>T500015028</t>
  </si>
  <si>
    <t>TORNILLO CORTICAL 1.5*28mm TITANIO</t>
  </si>
  <si>
    <t>T500915006</t>
  </si>
  <si>
    <t>2100065859</t>
  </si>
  <si>
    <t xml:space="preserve">TORNILLO DE BLOQUEO 1.5*6mm TITANIO </t>
  </si>
  <si>
    <t>T500915007</t>
  </si>
  <si>
    <t>2000097288</t>
  </si>
  <si>
    <t xml:space="preserve">TORNILLO DE BLOQUEO 1.5*7mm TITANIO </t>
  </si>
  <si>
    <t>T500915008</t>
  </si>
  <si>
    <t>2100039761</t>
  </si>
  <si>
    <t xml:space="preserve">TORNILLO DE BLOQUEO 1.5*8mm TITANIO </t>
  </si>
  <si>
    <t>T500915009</t>
  </si>
  <si>
    <t>2100039762</t>
  </si>
  <si>
    <t xml:space="preserve">TORNILLO DE BLOQUEO 1.5*9mm TITANIO </t>
  </si>
  <si>
    <t>T500915010</t>
  </si>
  <si>
    <t>2100039763</t>
  </si>
  <si>
    <t xml:space="preserve">TORNILLO DE BLOQUEO 1.5*10mm TITANIO </t>
  </si>
  <si>
    <t>T500915011</t>
  </si>
  <si>
    <t>2100039764</t>
  </si>
  <si>
    <t xml:space="preserve">TORNILLO DE BLOQUEO 1.5*11mm TITANIO </t>
  </si>
  <si>
    <t>T500915012</t>
  </si>
  <si>
    <t>2100039765</t>
  </si>
  <si>
    <t xml:space="preserve">TORNILLO DE BLOQUEO 1.5*12mm TITANIO </t>
  </si>
  <si>
    <t>T500915013</t>
  </si>
  <si>
    <t>2100064830</t>
  </si>
  <si>
    <t xml:space="preserve">TORNILLO DE BLOQUEO 1.5*13mm TITANIO </t>
  </si>
  <si>
    <t>T500915014</t>
  </si>
  <si>
    <t>2200068603</t>
  </si>
  <si>
    <t xml:space="preserve">TORNILLO DE BLOQUEO 1.5*14mm TITANIO </t>
  </si>
  <si>
    <t>T500915015</t>
  </si>
  <si>
    <t>2200081172</t>
  </si>
  <si>
    <t xml:space="preserve">TORNILLO DE BLOQUEO 1.5*15mm TITANIO </t>
  </si>
  <si>
    <t>T500915016</t>
  </si>
  <si>
    <t>2200120674</t>
  </si>
  <si>
    <t xml:space="preserve">TORNILLO DE BLOQUEO 1.5*16mm TITANIO </t>
  </si>
  <si>
    <t>T500915018</t>
  </si>
  <si>
    <t xml:space="preserve">TORNILLO DE BLOQUEO 1.5*18mm TITANIO </t>
  </si>
  <si>
    <t>T500915020</t>
  </si>
  <si>
    <t xml:space="preserve">TORNILLO DE BLOQUEO 1.5*20mm TITANIO </t>
  </si>
  <si>
    <t>T500915022</t>
  </si>
  <si>
    <t xml:space="preserve">TORNILLO DE BLOQUEO 1.5*22mm TITANIO </t>
  </si>
  <si>
    <t>T500915024</t>
  </si>
  <si>
    <t xml:space="preserve">TORNILLO DE BLOQUEO 1.5*24mm TITANIO </t>
  </si>
  <si>
    <t>T500915026</t>
  </si>
  <si>
    <t xml:space="preserve">TORNILLO DE BLOQUEO 1.5*26mm TITANIO </t>
  </si>
  <si>
    <t>1539</t>
  </si>
  <si>
    <t>MINIPLACA BLOQ. MANO&amp;PIE EN T  2.0mm 8*4 ORF.TIT.</t>
  </si>
  <si>
    <t>1720</t>
  </si>
  <si>
    <t>MINIPLACA BLOQ. MANO&amp;PIE RECTA 2.0mm *4 ORF.TIT.</t>
  </si>
  <si>
    <t>1540</t>
  </si>
  <si>
    <t>MINIPLACA BLOQ. MANO&amp;PIE RECTA 2.0mm *5 ORF.TIT.</t>
  </si>
  <si>
    <t>1721</t>
  </si>
  <si>
    <t>MINIPLACA BLOQ. MANO&amp;PIE RECTA 2.0mm *6 ORF.TIT.</t>
  </si>
  <si>
    <t>1722</t>
  </si>
  <si>
    <t>MINIPLACA BLOQ. MANO&amp;PIE RECTA 2.0mm *7 ORF.TIT.</t>
  </si>
  <si>
    <t>1723</t>
  </si>
  <si>
    <t>MINIPLACA BLOQ. MANO&amp;PIE RECTA 2.0mm *8 ORF.TIT.</t>
  </si>
  <si>
    <t>1725</t>
  </si>
  <si>
    <t>MINIPLACA BLOQ. MANO&amp;PIE RECTA 2.0mm *12 ORF.TIT.</t>
  </si>
  <si>
    <t>MINIPLACA BLOQ. MANO&amp;PIE EN T 2.0mm 2*7 ORF.TIT.</t>
  </si>
  <si>
    <t>1541</t>
  </si>
  <si>
    <t>MINIPLACA BLOQ. MANO&amp;PIE EN Y 2.0mm 2*7 ORF.TIT.</t>
  </si>
  <si>
    <t>1542</t>
  </si>
  <si>
    <t>MINIPLACA BLOQ. MANO&amp;PIE EN L 2.0mm 2*2 ORF.TIT.</t>
  </si>
  <si>
    <t>1543</t>
  </si>
  <si>
    <t>MINIPLACA BLOQ. MANO&amp;PIE CURVA 2.0mm *6 ORF.TIT.</t>
  </si>
  <si>
    <t>1544</t>
  </si>
  <si>
    <t>MINIPLACA BLOQ. MANO&amp;PIE CURVA 2.0mm *8 ORF.TIT.</t>
  </si>
  <si>
    <t>1545</t>
  </si>
  <si>
    <t>MINIPLACA BLOQ. MANO&amp;PIE EN X  2.0mm 4*2 ORF.TIT.</t>
  </si>
  <si>
    <t>1546</t>
  </si>
  <si>
    <t>MINIPLACA BLOQ. MANO&amp;PIE DOBLE T 2.0mm 4*2 ORF.TIT.</t>
  </si>
  <si>
    <t>T500020006</t>
  </si>
  <si>
    <t xml:space="preserve">TORNILLO CORTICAL 2.0*6mm TITANIO </t>
  </si>
  <si>
    <t>T500020007</t>
  </si>
  <si>
    <t xml:space="preserve">TORNILLO CORTICAL 2.0*7mm TITANIO </t>
  </si>
  <si>
    <t>T500020008</t>
  </si>
  <si>
    <t xml:space="preserve">TORNILLO CORTICAL 2.0*8mm TITANIO </t>
  </si>
  <si>
    <t>T500020009</t>
  </si>
  <si>
    <t xml:space="preserve">TORNILLO CORTICAL 2.0*9mm TITANIO </t>
  </si>
  <si>
    <t>T500020010</t>
  </si>
  <si>
    <t xml:space="preserve">TORNILLO CORTICAL 2.0*10mm TITANIO </t>
  </si>
  <si>
    <t>T500020011</t>
  </si>
  <si>
    <t xml:space="preserve">TORNILLO CORTICAL 2.0*11mm TITANIO </t>
  </si>
  <si>
    <t>T500020012</t>
  </si>
  <si>
    <t xml:space="preserve">TORNILLO CORTICAL 2.0*12mm TITANIO </t>
  </si>
  <si>
    <t>T500020013</t>
  </si>
  <si>
    <t xml:space="preserve">TORNILLO CORTICAL 2.0*13mm TITANIO </t>
  </si>
  <si>
    <t>T500020014</t>
  </si>
  <si>
    <t xml:space="preserve">TORNILLO CORTICAL 2.0*14mm TITANIO </t>
  </si>
  <si>
    <t>T500020015</t>
  </si>
  <si>
    <t xml:space="preserve">TORNILLO CORTICAL 2.0*16mm TITANIO </t>
  </si>
  <si>
    <t>T500020016</t>
  </si>
  <si>
    <t xml:space="preserve">TORNILLO CORTICAL 2.0*18mm TITANIO </t>
  </si>
  <si>
    <t>T500020017</t>
  </si>
  <si>
    <t xml:space="preserve">TORNILLO CORTICAL 2.0*20mm TITANIO </t>
  </si>
  <si>
    <t>T500020018</t>
  </si>
  <si>
    <t xml:space="preserve">TORNILLO CORTICAL 2.0*22mm TITANIO </t>
  </si>
  <si>
    <t>T500020019</t>
  </si>
  <si>
    <t xml:space="preserve">TORNILLO CORTICAL 2.0*26mm TITANIO </t>
  </si>
  <si>
    <t>T500020020</t>
  </si>
  <si>
    <t xml:space="preserve">TORNILLO CORTICAL 2.0*28mm TITANIO </t>
  </si>
  <si>
    <t>T500020021</t>
  </si>
  <si>
    <t xml:space="preserve">TORNILLO CORTICAL 2.0*30mm TITANIO </t>
  </si>
  <si>
    <t>T500920006</t>
  </si>
  <si>
    <t xml:space="preserve">TORNILLO DE BLOQUEO 2.0*6mm TITANIO </t>
  </si>
  <si>
    <t>T500920007</t>
  </si>
  <si>
    <t xml:space="preserve">TORNILLO DE BLOQUEO 2.0*7mm TITANIO </t>
  </si>
  <si>
    <t>T500920008</t>
  </si>
  <si>
    <t xml:space="preserve">TORNILLO DE BLOQUEO 2.0*8mm TITANIO </t>
  </si>
  <si>
    <t>T500920009</t>
  </si>
  <si>
    <t xml:space="preserve">TORNILLO DE BLOQUEO 2.0*9mm TITANIO </t>
  </si>
  <si>
    <t>T500920010</t>
  </si>
  <si>
    <t xml:space="preserve">TORNILLO DE BLOQUEO 2.0*10mm TITANIO </t>
  </si>
  <si>
    <t>T500920011</t>
  </si>
  <si>
    <t xml:space="preserve">TORNILLO DE BLOQUEO 2.0*11mm TITANIO </t>
  </si>
  <si>
    <t>T500920012</t>
  </si>
  <si>
    <t xml:space="preserve">TORNILLO DE BLOQUEO 2.0*12mm TITANIO </t>
  </si>
  <si>
    <t>T500920013</t>
  </si>
  <si>
    <t xml:space="preserve">TORNILLO DE BLOQUEO 2.0*13mm TITANIO </t>
  </si>
  <si>
    <t>T500920014</t>
  </si>
  <si>
    <t xml:space="preserve">TORNILLO DE BLOQUEO 2.0*14mm TITANIO </t>
  </si>
  <si>
    <t>T500920015</t>
  </si>
  <si>
    <t xml:space="preserve">TORNILLO DE BLOQUEO 2.0*16mm TITANIO </t>
  </si>
  <si>
    <t>T500920016</t>
  </si>
  <si>
    <t xml:space="preserve">TORNILLO DE BLOQUEO 2.0*18mm TITANIO </t>
  </si>
  <si>
    <t>T500920017</t>
  </si>
  <si>
    <t xml:space="preserve">TORNILLO DE BLOQUEO 2.0*20mm TITANIO </t>
  </si>
  <si>
    <t>T500920018</t>
  </si>
  <si>
    <t xml:space="preserve">TORNILLO DE BLOQUEO 2.0*22mm TITANIO </t>
  </si>
  <si>
    <t>T500920019</t>
  </si>
  <si>
    <t xml:space="preserve">TORNILLO DE BLOQUEO 2.0*24mm TITANIO </t>
  </si>
  <si>
    <t>T500920020</t>
  </si>
  <si>
    <t xml:space="preserve">TORNILLO DE BLOQUEO 2.0*26mm TITANIO </t>
  </si>
  <si>
    <t>T500920021</t>
  </si>
  <si>
    <t xml:space="preserve">TORNILLO DE BLOQUEO 2.028mm TITANIO </t>
  </si>
  <si>
    <t>T500920022</t>
  </si>
  <si>
    <t xml:space="preserve">TORNILLO DE BLOQUEO 2.0*30mm TITANIO </t>
  </si>
  <si>
    <t>T500920023</t>
  </si>
  <si>
    <t xml:space="preserve">TORNILLO DE BLOQUEO 2.0*36mm TITANIO </t>
  </si>
  <si>
    <t>MINIPLACA BLOQ. MANO&amp;PIE EN T 2.4mm 2*7 ORF.TIT.</t>
  </si>
  <si>
    <t>MINIPLACA BLOQ. MANO&amp;PIE RECTA 2.4mm *10 ORF.TIT.</t>
  </si>
  <si>
    <t>1579</t>
  </si>
  <si>
    <t>MINIPLACA BLOQ. MANO&amp;PIE RECTA 2.4mm *6 ORF.TIT.</t>
  </si>
  <si>
    <t>1581</t>
  </si>
  <si>
    <t>MINIPLACA BLOQ. MANO&amp;PIE RECTA 2.4mm *12 ORF.TIT.</t>
  </si>
  <si>
    <t>1583</t>
  </si>
  <si>
    <t>MINIPLACA BLOQ. MANO&amp;PIE EN L 2.4mm 2*3 ORF.TIT.</t>
  </si>
  <si>
    <t>T50022406</t>
  </si>
  <si>
    <t>TORNILLO CORTICAL 2.4*6mm TITANIO</t>
  </si>
  <si>
    <t>T50022407</t>
  </si>
  <si>
    <t>TORNILLO CORTICAL 2.4*7mm TITANIO</t>
  </si>
  <si>
    <t>2200018926</t>
  </si>
  <si>
    <t>TORNILLO CORTICAL 2.4*8mm TITANIO</t>
  </si>
  <si>
    <t>T50022409</t>
  </si>
  <si>
    <t>2200018927</t>
  </si>
  <si>
    <t>TORNILLO CORTICAL 2.4*9mm TITANIO</t>
  </si>
  <si>
    <t>T50022411</t>
  </si>
  <si>
    <t>2200094140</t>
  </si>
  <si>
    <t>TORNILLO CORTICAL 2.4*11mm TITANIO</t>
  </si>
  <si>
    <t>040240013</t>
  </si>
  <si>
    <t>2200018448</t>
  </si>
  <si>
    <t>TORNILLO CORTICAL 2.4*13mm TITANIO</t>
  </si>
  <si>
    <t>2200009013</t>
  </si>
  <si>
    <t>2200008318</t>
  </si>
  <si>
    <t>2200028230</t>
  </si>
  <si>
    <t xml:space="preserve">TORNILLO CORTICAL 2.4*30mm TITANIO </t>
  </si>
  <si>
    <t>T50022434</t>
  </si>
  <si>
    <t>2200028231</t>
  </si>
  <si>
    <t xml:space="preserve">TORNILLO CORTICAL 2.4*34mm TITANIO </t>
  </si>
  <si>
    <t>T50022436</t>
  </si>
  <si>
    <t xml:space="preserve">TORNILLO CORTICAL 2.4*36mm TITANIO </t>
  </si>
  <si>
    <t>T50022438</t>
  </si>
  <si>
    <t xml:space="preserve">TORNILLO CORTICAL 2.4*38mm TITANIO </t>
  </si>
  <si>
    <t>T50022440</t>
  </si>
  <si>
    <t xml:space="preserve">TORNILLO CORTICAL 2.4*40mm TITANIO </t>
  </si>
  <si>
    <t xml:space="preserve">TORNILLO DE BLOQUEO  2.4*6mm TITANIO </t>
  </si>
  <si>
    <t>TI-SF-100V.207</t>
  </si>
  <si>
    <t xml:space="preserve">TORNILLO DE BLOQUEO  2.4*7mm TITANIO </t>
  </si>
  <si>
    <t xml:space="preserve">TORNILLO DE BLOQUEO  2.4*8mm TITANIO </t>
  </si>
  <si>
    <t>TI-SF-100V.209</t>
  </si>
  <si>
    <t xml:space="preserve">TORNILLO DE BLOQUEO  2.4*9mm TITANIO </t>
  </si>
  <si>
    <t>TI-SF-100V.213</t>
  </si>
  <si>
    <t xml:space="preserve">TORNILLO DE BLOQUEO  2.4*13mm TITANIO </t>
  </si>
  <si>
    <t xml:space="preserve">TORNILLO DE BLOQUEO  2.4*28mm TITANIO </t>
  </si>
  <si>
    <t>TI-SF-100V.230</t>
  </si>
  <si>
    <t xml:space="preserve">TORNILLO DE BLOQUEO  2.4*30mm TITANIO </t>
  </si>
  <si>
    <t>1623</t>
  </si>
  <si>
    <t>MINIPLACA BLOQ. MANO&amp;PIE RECTA  2.7mm *4 ORF.TIT.</t>
  </si>
  <si>
    <t>1624</t>
  </si>
  <si>
    <t>MINIPLACA BLOQ. MANO&amp;PIE RECTA  2.7mm *6 ORF.TIT.</t>
  </si>
  <si>
    <t>1625</t>
  </si>
  <si>
    <t>MINIPLACA BLOQ. MANO&amp;PIE RECTA  2.7mm *8 ORF.TIT.</t>
  </si>
  <si>
    <t>1626</t>
  </si>
  <si>
    <t>MINIPLACA BLOQ. MANO&amp;PIE RECTA  2.7mm *10 ORF.TIT.</t>
  </si>
  <si>
    <t>1627</t>
  </si>
  <si>
    <t>MINIPLACA BLOQ. MANO&amp;PIE RECTA  2.7mm *12 ORF.TIT.</t>
  </si>
  <si>
    <t>T50022706</t>
  </si>
  <si>
    <t xml:space="preserve">TORNILLO CORTICAL 2.7*6mm TITANIO </t>
  </si>
  <si>
    <t>T50022708</t>
  </si>
  <si>
    <t xml:space="preserve">TORNILLO CORTICAL 2.7*8mm TITANIO </t>
  </si>
  <si>
    <t>T50022710</t>
  </si>
  <si>
    <t xml:space="preserve">TORNILLO CORTICAL 2.7*10mm TITANIO </t>
  </si>
  <si>
    <t>T50022728</t>
  </si>
  <si>
    <t>2200040563</t>
  </si>
  <si>
    <t xml:space="preserve">TORNILLO CORTICAL 2.7*28mm TITANIO </t>
  </si>
  <si>
    <t>T50022730</t>
  </si>
  <si>
    <t>2200040564</t>
  </si>
  <si>
    <t xml:space="preserve">TORNILLO CORTICAL 2.7*30mm TITANIO </t>
  </si>
  <si>
    <t>T50022734</t>
  </si>
  <si>
    <t xml:space="preserve">TORNILLO CORTICAL 2.7*34mm TITANIO </t>
  </si>
  <si>
    <t>T50022736</t>
  </si>
  <si>
    <t xml:space="preserve">TORNILLO CORTICAL 2.7*36mm TITANIO </t>
  </si>
  <si>
    <t>T50022738</t>
  </si>
  <si>
    <t xml:space="preserve">TORNILLO CORTICAL 2.7*38mm TITANIO </t>
  </si>
  <si>
    <t>T50022740</t>
  </si>
  <si>
    <t xml:space="preserve">TORNILLO CORTICAL 2.7*40mm TITANIO </t>
  </si>
  <si>
    <t xml:space="preserve">TORNILLO DE BLOQUEO 2.7*6mm TITANIO </t>
  </si>
  <si>
    <t xml:space="preserve">TORNILLO DE BLOQUEO 2.7*8mm TITANIO </t>
  </si>
  <si>
    <t>2200070550</t>
  </si>
  <si>
    <t xml:space="preserve">TORNILLO DE BLOQUEO 2.7*28mm TITANIO </t>
  </si>
  <si>
    <t>TC50102730</t>
  </si>
  <si>
    <t>2200076216</t>
  </si>
  <si>
    <t xml:space="preserve">TORNILLO DE BLOQUEO 2.7*30mm TITANIO </t>
  </si>
  <si>
    <t>TC50102732</t>
  </si>
  <si>
    <t>2200076217</t>
  </si>
  <si>
    <t xml:space="preserve">TORNILLO DE BLOQUEO 2.7*32mm TITANIO </t>
  </si>
  <si>
    <t>TC50102734</t>
  </si>
  <si>
    <t>2200076218</t>
  </si>
  <si>
    <t xml:space="preserve">TORNILLO DE BLOQUEO 2.7*34mm TITANIO </t>
  </si>
  <si>
    <t>TC50102736</t>
  </si>
  <si>
    <t>2100026468</t>
  </si>
  <si>
    <t xml:space="preserve">TORNILLO DE BLOQUEO 2.7*36mm TITANIO </t>
  </si>
  <si>
    <t>TC50102738</t>
  </si>
  <si>
    <t>2100026469</t>
  </si>
  <si>
    <t xml:space="preserve">TORNILLO DE BLOQUEO 2.7*38mm TITANIO </t>
  </si>
  <si>
    <t>INSTRUMENTAL MINIFRAGMENTOS 1.5/2.0/2.4/2.7</t>
  </si>
  <si>
    <t xml:space="preserve">SISTEMA 1.5MM </t>
  </si>
  <si>
    <t>BROCAS DE 0,8MM</t>
  </si>
  <si>
    <t>AVELLANADOR ANCLAJE RAPIDO</t>
  </si>
  <si>
    <t xml:space="preserve">SUJETADOR DE PLACAS </t>
  </si>
  <si>
    <t xml:space="preserve">GUIA DE BLOQUEO </t>
  </si>
  <si>
    <t xml:space="preserve">PINES </t>
  </si>
  <si>
    <t xml:space="preserve">SISTEMA 2.0MM </t>
  </si>
  <si>
    <t>BROCAS DE 1,6MM</t>
  </si>
  <si>
    <t xml:space="preserve">ANCLAJES RAPIDO STAR DRIVE </t>
  </si>
  <si>
    <t xml:space="preserve">SISTEMA 2.4MM </t>
  </si>
  <si>
    <t>BROCAS DE 1,8MM</t>
  </si>
  <si>
    <t xml:space="preserve">GIA DE BROCA 2.0/2.7MM </t>
  </si>
  <si>
    <t xml:space="preserve">SISTEMA 2.7MM </t>
  </si>
  <si>
    <t>BROCAS DE 2.0MM</t>
  </si>
  <si>
    <t xml:space="preserve">INSTRUMENTAL </t>
  </si>
  <si>
    <t xml:space="preserve">BANDEJA SUPERIOR </t>
  </si>
  <si>
    <t>SEPARADORES SENMMILER</t>
  </si>
  <si>
    <t>SEPARADOR AUTOESTATICO PEQUEÑO</t>
  </si>
  <si>
    <t>PINZAS REDUCTORAS CANGREJO MEDIANAS ARANDELA</t>
  </si>
  <si>
    <t>PINZA REDUCTORA BABY CANGREJO ARANDELA</t>
  </si>
  <si>
    <t>PINZA SUJETA PLACAS</t>
  </si>
  <si>
    <t>PINZA REDUCTORA EN PUNTA PEQUEÑA CREMALLERA</t>
  </si>
  <si>
    <t>PINZA DE SUJECION EN PUNTA PEQUEÑA CREMALLERA</t>
  </si>
  <si>
    <t>PINZA DE SUJECION EN PUNTA MEDIANA CREMALLERA</t>
  </si>
  <si>
    <t>MANGO EN T ANCLAJE RAPIDO</t>
  </si>
  <si>
    <t>ATORNILLADOR CON CAMISA ANCLAJE RAPIDO</t>
  </si>
  <si>
    <t>ATORNILLADOR CON CAMISA 1.5 ANCLAJE RAPIDO</t>
  </si>
  <si>
    <t>DOBLADORES DE PLACAS CURVOS</t>
  </si>
  <si>
    <t>CORTADOR MEDIANO</t>
  </si>
  <si>
    <t>BANDEJA INFERIOR</t>
  </si>
  <si>
    <t>DESPERIO FINOS</t>
  </si>
  <si>
    <t>MANGO TORQUE CAFÉ 0.8 N.m</t>
  </si>
  <si>
    <t>GUIA DE BROCA DOBLE 1.1/1.5</t>
  </si>
  <si>
    <t>GUIA DE BROCA DOBLE 1.8/2.4</t>
  </si>
  <si>
    <t>MANGO ATORNILLADOR ANCLAJE RAPIDO CAFÉ</t>
  </si>
  <si>
    <t>RETRACTOR MEDIIANO</t>
  </si>
  <si>
    <t>GANCHO SIMPLE</t>
  </si>
  <si>
    <t>MEDIDORES DE PROFUNDIDAD</t>
  </si>
  <si>
    <t>ATORNILLADOR CON CAMISA HEXAGONAL</t>
  </si>
  <si>
    <t>MANGO ATORNILLADOR ANCLAJE RAPIDO NEGRO</t>
  </si>
  <si>
    <t>DOBLADORES DE PLACA RECTOS</t>
  </si>
  <si>
    <t>GUBIA</t>
  </si>
  <si>
    <t>BROCA 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</si>
</sst>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14"/>
      <color theme="0"/>
      <name val="Arial"/>
      <family val="2"/>
    </font>
    <font>
      <sz val="14"/>
      <color indexed="8"/>
      <name val="Arial"/>
      <family val="2"/>
    </font>
    <font>
      <b/>
      <sz val="14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6" tint="0.59999389629810485"/>
        <bgColor indexed="0"/>
      </patternFill>
    </fill>
    <fill>
      <patternFill patternType="solid">
        <fgColor theme="8" tint="-0.49998474074526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64">
    <xf numFmtId="0" fontId="0" fillId="0" borderId="0" xfId="0"/>
    <xf numFmtId="0" fontId="0" fillId="0" borderId="4" xfId="0" applyBorder="1" applyProtection="1">
      <protection locked="0"/>
    </xf>
    <xf numFmtId="0" fontId="0" fillId="0" borderId="5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6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5" borderId="1" xfId="0" applyFont="1" applyFill="1" applyBorder="1" applyAlignment="1" applyProtection="1">
      <alignment horizontal="center" vertical="center"/>
      <protection locked="0"/>
    </xf>
    <xf numFmtId="0" fontId="4" fillId="0" borderId="7" xfId="1" applyFont="1" applyBorder="1" applyProtection="1">
      <protection locked="0"/>
    </xf>
    <xf numFmtId="0" fontId="4" fillId="0" borderId="8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7" borderId="1" xfId="0" applyFont="1" applyFill="1" applyBorder="1" applyAlignment="1" applyProtection="1">
      <alignment horizontal="center" wrapText="1" readingOrder="1"/>
      <protection locked="0"/>
    </xf>
    <xf numFmtId="0" fontId="25" fillId="7" borderId="1" xfId="0" applyFont="1" applyFill="1" applyBorder="1" applyAlignment="1" applyProtection="1">
      <alignment horizontal="center" vertic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1" fillId="2" borderId="1" xfId="0" applyFont="1" applyFill="1" applyBorder="1"/>
    <xf numFmtId="0" fontId="1" fillId="6" borderId="1" xfId="0" applyFont="1" applyFill="1" applyBorder="1"/>
    <xf numFmtId="0" fontId="1" fillId="0" borderId="1" xfId="0" applyFont="1" applyBorder="1" applyAlignment="1">
      <alignment wrapText="1"/>
    </xf>
    <xf numFmtId="0" fontId="26" fillId="0" borderId="1" xfId="0" applyFont="1" applyBorder="1" applyAlignment="1" applyProtection="1">
      <alignment horizontal="left" readingOrder="1"/>
      <protection locked="0"/>
    </xf>
    <xf numFmtId="169" fontId="19" fillId="0" borderId="0" xfId="1" applyNumberFormat="1" applyFont="1" applyAlignment="1">
      <alignment wrapText="1"/>
    </xf>
    <xf numFmtId="0" fontId="19" fillId="0" borderId="0" xfId="0" applyFont="1" applyAlignment="1">
      <alignment horizontal="center"/>
    </xf>
    <xf numFmtId="0" fontId="19" fillId="0" borderId="0" xfId="0" applyFont="1"/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26" fillId="0" borderId="0" xfId="0" applyFont="1" applyAlignment="1" applyProtection="1">
      <alignment wrapText="1" readingOrder="1"/>
      <protection locked="0"/>
    </xf>
    <xf numFmtId="164" fontId="26" fillId="0" borderId="0" xfId="7" applyFont="1" applyBorder="1"/>
    <xf numFmtId="0" fontId="1" fillId="0" borderId="0" xfId="0" applyFont="1" applyAlignment="1" applyProtection="1">
      <alignment wrapText="1" readingOrder="1"/>
      <protection locked="0"/>
    </xf>
    <xf numFmtId="0" fontId="25" fillId="0" borderId="0" xfId="0" applyFont="1" applyAlignment="1">
      <alignment horizontal="right" wrapText="1"/>
    </xf>
    <xf numFmtId="169" fontId="1" fillId="0" borderId="1" xfId="12" applyNumberFormat="1" applyFont="1" applyBorder="1" applyAlignment="1">
      <alignment horizontal="right"/>
    </xf>
    <xf numFmtId="169" fontId="19" fillId="0" borderId="0" xfId="12" applyNumberFormat="1" applyFont="1" applyBorder="1" applyAlignment="1"/>
    <xf numFmtId="0" fontId="1" fillId="0" borderId="0" xfId="0" applyFont="1"/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7" fillId="0" borderId="1" xfId="0" applyFont="1" applyBorder="1"/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 wrapText="1"/>
    </xf>
    <xf numFmtId="0" fontId="9" fillId="2" borderId="1" xfId="0" applyFont="1" applyFill="1" applyBorder="1" applyAlignment="1">
      <alignment vertical="center"/>
    </xf>
    <xf numFmtId="49" fontId="9" fillId="0" borderId="1" xfId="0" applyNumberFormat="1" applyFont="1" applyBorder="1" applyAlignment="1">
      <alignment horizontal="left" vertical="center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2" fillId="0" borderId="1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0" fontId="24" fillId="0" borderId="1" xfId="0" applyFont="1" applyBorder="1" applyAlignment="1">
      <alignment horizontal="center"/>
    </xf>
    <xf numFmtId="0" fontId="12" fillId="0" borderId="1" xfId="0" applyFont="1" applyBorder="1"/>
    <xf numFmtId="0" fontId="13" fillId="0" borderId="0" xfId="0" applyFont="1" applyAlignment="1">
      <alignment horizontal="center"/>
    </xf>
    <xf numFmtId="0" fontId="7" fillId="0" borderId="0" xfId="0" applyFont="1" applyAlignment="1">
      <alignment horizontal="center" readingOrder="1"/>
    </xf>
    <xf numFmtId="0" fontId="7" fillId="0" borderId="1" xfId="0" applyFont="1" applyBorder="1" applyAlignment="1" applyProtection="1">
      <alignment horizontal="left" readingOrder="1"/>
      <protection locked="0"/>
    </xf>
    <xf numFmtId="0" fontId="12" fillId="0" borderId="1" xfId="1" applyFont="1" applyBorder="1" applyAlignment="1">
      <alignment horizontal="center"/>
    </xf>
    <xf numFmtId="0" fontId="7" fillId="0" borderId="1" xfId="0" applyFont="1" applyBorder="1" applyAlignment="1" applyProtection="1">
      <alignment horizontal="left" wrapText="1" readingOrder="1"/>
      <protection locked="0"/>
    </xf>
    <xf numFmtId="0" fontId="13" fillId="0" borderId="1" xfId="1" applyFont="1" applyBorder="1" applyAlignment="1">
      <alignment horizontal="center"/>
    </xf>
    <xf numFmtId="0" fontId="7" fillId="0" borderId="9" xfId="0" applyFont="1" applyBorder="1" applyAlignment="1" applyProtection="1">
      <alignment horizontal="left" wrapText="1" readingOrder="1"/>
      <protection locked="0"/>
    </xf>
    <xf numFmtId="0" fontId="7" fillId="0" borderId="11" xfId="0" applyFont="1" applyBorder="1" applyAlignment="1" applyProtection="1">
      <alignment horizontal="left" wrapText="1" readingOrder="1"/>
      <protection locked="0"/>
    </xf>
    <xf numFmtId="0" fontId="7" fillId="0" borderId="3" xfId="0" applyFont="1" applyBorder="1" applyAlignment="1" applyProtection="1">
      <alignment horizontal="left" readingOrder="1"/>
      <protection locked="0"/>
    </xf>
    <xf numFmtId="0" fontId="11" fillId="0" borderId="1" xfId="1" applyFont="1" applyBorder="1" applyAlignment="1">
      <alignment horizontal="left"/>
    </xf>
    <xf numFmtId="3" fontId="7" fillId="0" borderId="1" xfId="0" applyNumberFormat="1" applyFont="1" applyBorder="1" applyAlignment="1">
      <alignment horizontal="left"/>
    </xf>
    <xf numFmtId="0" fontId="7" fillId="0" borderId="0" xfId="0" applyFont="1" applyAlignment="1" applyProtection="1">
      <alignment horizontal="center" vertical="top" wrapText="1" readingOrder="1"/>
      <protection locked="0"/>
    </xf>
    <xf numFmtId="0" fontId="7" fillId="0" borderId="0" xfId="0" applyFont="1" applyAlignment="1" applyProtection="1">
      <alignment horizontal="left" vertical="top" readingOrder="1"/>
      <protection locked="0"/>
    </xf>
    <xf numFmtId="0" fontId="7" fillId="0" borderId="0" xfId="0" applyFont="1"/>
    <xf numFmtId="0" fontId="12" fillId="0" borderId="0" xfId="0" applyFont="1" applyAlignment="1">
      <alignment vertical="center"/>
    </xf>
    <xf numFmtId="0" fontId="7" fillId="0" borderId="0" xfId="0" applyFont="1" applyAlignment="1" applyProtection="1">
      <alignment vertical="top" wrapText="1" readingOrder="1"/>
      <protection locked="0"/>
    </xf>
    <xf numFmtId="0" fontId="12" fillId="0" borderId="0" xfId="0" applyFont="1" applyAlignment="1" applyProtection="1">
      <alignment vertical="top" wrapText="1" readingOrder="1"/>
      <protection locked="0"/>
    </xf>
    <xf numFmtId="0" fontId="28" fillId="0" borderId="0" xfId="0" applyFont="1"/>
    <xf numFmtId="0" fontId="27" fillId="0" borderId="0" xfId="0" applyFont="1" applyAlignment="1" applyProtection="1">
      <alignment vertical="top" wrapText="1" readingOrder="1"/>
      <protection locked="0"/>
    </xf>
    <xf numFmtId="0" fontId="27" fillId="0" borderId="0" xfId="0" applyFont="1"/>
    <xf numFmtId="0" fontId="29" fillId="0" borderId="0" xfId="0" applyFont="1" applyAlignment="1">
      <alignment horizontal="left"/>
    </xf>
    <xf numFmtId="0" fontId="29" fillId="0" borderId="0" xfId="0" applyFont="1" applyAlignment="1">
      <alignment wrapText="1"/>
    </xf>
    <xf numFmtId="0" fontId="28" fillId="0" borderId="0" xfId="0" applyFont="1" applyAlignment="1">
      <alignment horizontal="left"/>
    </xf>
    <xf numFmtId="0" fontId="28" fillId="0" borderId="0" xfId="0" applyFont="1" applyAlignment="1">
      <alignment wrapText="1"/>
    </xf>
    <xf numFmtId="0" fontId="27" fillId="0" borderId="10" xfId="0" applyFont="1" applyBorder="1"/>
    <xf numFmtId="0" fontId="27" fillId="0" borderId="0" xfId="1" applyFont="1" applyAlignment="1">
      <alignment horizontal="left"/>
    </xf>
    <xf numFmtId="0" fontId="27" fillId="0" borderId="0" xfId="1" applyFont="1" applyAlignment="1">
      <alignment wrapText="1"/>
    </xf>
    <xf numFmtId="0" fontId="28" fillId="0" borderId="10" xfId="0" applyFont="1" applyBorder="1" applyAlignment="1">
      <alignment wrapText="1"/>
    </xf>
    <xf numFmtId="0" fontId="28" fillId="0" borderId="10" xfId="0" applyFont="1" applyBorder="1" applyAlignment="1">
      <alignment horizontal="left"/>
    </xf>
    <xf numFmtId="0" fontId="7" fillId="0" borderId="9" xfId="0" applyFont="1" applyBorder="1" applyAlignment="1" applyProtection="1">
      <alignment horizontal="center" wrapText="1" readingOrder="1"/>
      <protection locked="0"/>
    </xf>
    <xf numFmtId="0" fontId="7" fillId="0" borderId="11" xfId="0" applyFont="1" applyBorder="1" applyAlignment="1" applyProtection="1">
      <alignment horizontal="center" wrapText="1" readingOrder="1"/>
      <protection locked="0"/>
    </xf>
    <xf numFmtId="0" fontId="7" fillId="0" borderId="3" xfId="0" applyFont="1" applyBorder="1" applyAlignment="1" applyProtection="1">
      <alignment horizontal="center" wrapText="1" readingOrder="1"/>
      <protection locked="0"/>
    </xf>
    <xf numFmtId="0" fontId="11" fillId="0" borderId="9" xfId="1" applyFont="1" applyBorder="1" applyAlignment="1">
      <alignment horizontal="center"/>
    </xf>
    <xf numFmtId="0" fontId="11" fillId="0" borderId="11" xfId="1" applyFont="1" applyBorder="1" applyAlignment="1">
      <alignment horizontal="center"/>
    </xf>
    <xf numFmtId="0" fontId="11" fillId="0" borderId="3" xfId="1" applyFont="1" applyBorder="1" applyAlignment="1">
      <alignment horizontal="center"/>
    </xf>
    <xf numFmtId="3" fontId="7" fillId="0" borderId="9" xfId="0" applyNumberFormat="1" applyFont="1" applyBorder="1" applyAlignment="1">
      <alignment horizontal="center"/>
    </xf>
    <xf numFmtId="3" fontId="7" fillId="0" borderId="11" xfId="0" applyNumberFormat="1" applyFont="1" applyBorder="1" applyAlignment="1">
      <alignment horizontal="center"/>
    </xf>
    <xf numFmtId="3" fontId="7" fillId="0" borderId="3" xfId="0" applyNumberFormat="1" applyFont="1" applyBorder="1" applyAlignment="1">
      <alignment horizont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3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49" fontId="11" fillId="0" borderId="1" xfId="0" applyNumberFormat="1" applyFont="1" applyBorder="1" applyAlignment="1">
      <alignment horizontal="left"/>
    </xf>
    <xf numFmtId="0" fontId="11" fillId="0" borderId="1" xfId="0" applyFont="1" applyBorder="1" applyAlignment="1">
      <alignment horizontal="left"/>
    </xf>
    <xf numFmtId="49" fontId="12" fillId="0" borderId="1" xfId="0" applyNumberFormat="1" applyFont="1" applyBorder="1" applyAlignment="1">
      <alignment horizontal="center" wrapText="1"/>
    </xf>
    <xf numFmtId="0" fontId="27" fillId="0" borderId="1" xfId="0" applyFont="1" applyBorder="1" applyAlignment="1">
      <alignment horizontal="center"/>
    </xf>
    <xf numFmtId="49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31" fillId="8" borderId="12" xfId="0" applyFont="1" applyFill="1" applyBorder="1" applyAlignment="1">
      <alignment horizontal="center"/>
    </xf>
    <xf numFmtId="0" fontId="31" fillId="8" borderId="8" xfId="0" applyFont="1" applyFill="1" applyBorder="1" applyAlignment="1">
      <alignment horizontal="center"/>
    </xf>
    <xf numFmtId="0" fontId="24" fillId="4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1" fillId="8" borderId="12" xfId="0" applyFont="1" applyFill="1" applyBorder="1" applyAlignment="1">
      <alignment horizontal="center"/>
    </xf>
    <xf numFmtId="0" fontId="31" fillId="8" borderId="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31" fillId="8" borderId="9" xfId="0" applyFont="1" applyFill="1" applyBorder="1" applyAlignment="1">
      <alignment horizontal="center"/>
    </xf>
    <xf numFmtId="0" fontId="28" fillId="0" borderId="1" xfId="0" applyFont="1" applyBorder="1" applyAlignment="1">
      <alignment horizontal="left"/>
    </xf>
    <xf numFmtId="0" fontId="24" fillId="0" borderId="9" xfId="0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7" fillId="2" borderId="1" xfId="0" applyFont="1" applyFill="1" applyBorder="1" applyAlignment="1">
      <alignment horizontal="center"/>
    </xf>
    <xf numFmtId="0" fontId="27" fillId="2" borderId="1" xfId="0" applyFont="1" applyFill="1" applyBorder="1" applyAlignment="1">
      <alignment horizontal="left"/>
    </xf>
    <xf numFmtId="0" fontId="32" fillId="0" borderId="1" xfId="0" applyFont="1" applyBorder="1" applyAlignment="1">
      <alignment horizontal="center"/>
    </xf>
    <xf numFmtId="0" fontId="32" fillId="0" borderId="1" xfId="0" applyFont="1" applyBorder="1" applyAlignment="1">
      <alignment horizontal="left"/>
    </xf>
    <xf numFmtId="0" fontId="33" fillId="0" borderId="1" xfId="0" applyFont="1" applyBorder="1" applyAlignment="1">
      <alignment horizontal="center"/>
    </xf>
    <xf numFmtId="0" fontId="27" fillId="0" borderId="1" xfId="1" applyFont="1" applyBorder="1" applyAlignment="1">
      <alignment wrapText="1"/>
    </xf>
    <xf numFmtId="3" fontId="7" fillId="0" borderId="0" xfId="0" applyNumberFormat="1" applyFont="1" applyBorder="1" applyAlignment="1">
      <alignment horizontal="center"/>
    </xf>
    <xf numFmtId="0" fontId="24" fillId="0" borderId="0" xfId="0" applyFont="1" applyAlignment="1">
      <alignment horizontal="center"/>
    </xf>
    <xf numFmtId="0" fontId="27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center"/>
    </xf>
    <xf numFmtId="0" fontId="32" fillId="0" borderId="1" xfId="0" applyFont="1" applyBorder="1" applyAlignment="1">
      <alignment horizontal="center"/>
    </xf>
    <xf numFmtId="0" fontId="32" fillId="0" borderId="1" xfId="0" applyFont="1" applyBorder="1" applyAlignment="1">
      <alignment horizontal="left"/>
    </xf>
    <xf numFmtId="0" fontId="33" fillId="0" borderId="1" xfId="0" applyFont="1" applyBorder="1" applyAlignment="1">
      <alignment horizontal="center"/>
    </xf>
    <xf numFmtId="0" fontId="13" fillId="0" borderId="0" xfId="0" applyFont="1"/>
    <xf numFmtId="0" fontId="13" fillId="0" borderId="0" xfId="0" applyFont="1" applyBorder="1" applyAlignment="1">
      <alignment horizontal="center"/>
    </xf>
    <xf numFmtId="0" fontId="26" fillId="0" borderId="0" xfId="0" applyFont="1" applyBorder="1" applyAlignment="1" applyProtection="1">
      <alignment horizontal="left" readingOrder="1"/>
      <protection locked="0"/>
    </xf>
    <xf numFmtId="169" fontId="13" fillId="0" borderId="1" xfId="0" applyNumberFormat="1" applyFont="1" applyBorder="1"/>
    <xf numFmtId="0" fontId="6" fillId="0" borderId="1" xfId="0" applyFont="1" applyBorder="1" applyAlignment="1">
      <alignment horizontal="right"/>
    </xf>
    <xf numFmtId="0" fontId="29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7" fillId="0" borderId="1" xfId="0" applyFont="1" applyBorder="1" applyAlignment="1">
      <alignment horizontal="right"/>
    </xf>
  </cellXfs>
  <cellStyles count="14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527"/>
  <sheetViews>
    <sheetView showGridLines="0" tabSelected="1" zoomScale="80" zoomScaleNormal="80" zoomScaleSheetLayoutView="100" zoomScalePageLayoutView="80" workbookViewId="0">
      <pane xSplit="2" ySplit="5" topLeftCell="C483" activePane="bottomRight" state="frozen"/>
      <selection pane="topRight" activeCell="C1" sqref="C1"/>
      <selection pane="bottomLeft" activeCell="A6" sqref="A6"/>
      <selection pane="bottomRight" sqref="A1:E528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7.85546875" style="34" customWidth="1"/>
    <col min="3" max="3" width="105.85546875" style="33" customWidth="1"/>
    <col min="4" max="4" width="19.85546875" style="33" customWidth="1"/>
    <col min="5" max="5" width="16.5703125" style="33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14.140625" style="10" bestFit="1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19" t="s">
        <v>20</v>
      </c>
      <c r="D2" s="117" t="s">
        <v>19</v>
      </c>
      <c r="E2" s="117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19"/>
      <c r="D3" s="9" t="s">
        <v>22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18" t="s">
        <v>21</v>
      </c>
      <c r="D4" s="9" t="s">
        <v>26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118"/>
      <c r="D5" s="9" t="s">
        <v>27</v>
      </c>
      <c r="E5" s="11">
        <v>46075</v>
      </c>
      <c r="F5" s="15"/>
      <c r="G5" s="10"/>
      <c r="H5" s="10"/>
      <c r="I5" s="10"/>
      <c r="J5" s="10"/>
      <c r="K5" s="10"/>
      <c r="L5" s="15"/>
      <c r="M5" s="116"/>
      <c r="N5" s="116"/>
      <c r="O5" s="10"/>
    </row>
    <row r="6" spans="1:15" ht="20.100000000000001" customHeight="1" x14ac:dyDescent="0.25">
      <c r="A6" s="17"/>
      <c r="B6" s="17"/>
      <c r="C6" s="17"/>
      <c r="D6" s="17"/>
      <c r="E6" s="17"/>
      <c r="M6" s="116"/>
      <c r="N6" s="116"/>
    </row>
    <row r="7" spans="1:15" ht="20.100000000000001" customHeight="1" x14ac:dyDescent="0.2">
      <c r="A7" s="18" t="s">
        <v>0</v>
      </c>
      <c r="B7" s="18"/>
      <c r="C7" s="69">
        <v>45071</v>
      </c>
      <c r="D7" s="18" t="s">
        <v>1</v>
      </c>
      <c r="E7" s="19">
        <v>20230500629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67" t="s">
        <v>58</v>
      </c>
      <c r="D9" s="21" t="s">
        <v>3</v>
      </c>
      <c r="E9" s="68" t="s">
        <v>60</v>
      </c>
      <c r="M9" s="16"/>
      <c r="N9" s="16"/>
    </row>
    <row r="10" spans="1:15" ht="9" customHeight="1" x14ac:dyDescent="0.25">
      <c r="A10" s="20"/>
      <c r="B10" s="20"/>
      <c r="C10" s="64"/>
      <c r="D10" s="20"/>
      <c r="E10" s="20"/>
      <c r="M10" s="16"/>
      <c r="N10" s="16"/>
    </row>
    <row r="11" spans="1:15" ht="20.100000000000001" customHeight="1" x14ac:dyDescent="0.2">
      <c r="A11" s="114" t="s">
        <v>17</v>
      </c>
      <c r="B11" s="115"/>
      <c r="C11" s="65" t="s">
        <v>59</v>
      </c>
      <c r="D11" s="21" t="s">
        <v>18</v>
      </c>
      <c r="E11" s="23" t="s">
        <v>24</v>
      </c>
      <c r="M11" s="16"/>
      <c r="N11" s="16"/>
    </row>
    <row r="12" spans="1:15" ht="9.75" customHeight="1" x14ac:dyDescent="0.25">
      <c r="A12" s="20"/>
      <c r="B12" s="20"/>
      <c r="C12" s="64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66" t="s">
        <v>59</v>
      </c>
      <c r="D13" s="21" t="s">
        <v>5</v>
      </c>
      <c r="E13" s="22" t="s">
        <v>23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69">
        <v>45072</v>
      </c>
      <c r="D15" s="21" t="s">
        <v>7</v>
      </c>
      <c r="E15" s="24" t="s">
        <v>187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2" t="s">
        <v>186</v>
      </c>
      <c r="D17" s="25"/>
      <c r="E17" s="26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2"/>
      <c r="D19" s="21" t="s">
        <v>15</v>
      </c>
      <c r="E19" s="24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16</v>
      </c>
      <c r="B21" s="18"/>
      <c r="C21" s="27"/>
      <c r="D21" s="28"/>
      <c r="E21" s="29"/>
      <c r="M21" s="16"/>
      <c r="N21" s="16"/>
    </row>
    <row r="22" spans="1:14" ht="11.25" customHeight="1" x14ac:dyDescent="0.2">
      <c r="A22" s="30"/>
      <c r="B22" s="31"/>
      <c r="C22" s="30"/>
      <c r="D22" s="30"/>
      <c r="E22" s="30"/>
      <c r="G22" s="32"/>
      <c r="H22" s="32"/>
    </row>
    <row r="23" spans="1:14" ht="35.25" customHeight="1" x14ac:dyDescent="0.25">
      <c r="A23" s="36" t="s">
        <v>10</v>
      </c>
      <c r="B23" s="37" t="s">
        <v>11</v>
      </c>
      <c r="C23" s="37" t="s">
        <v>12</v>
      </c>
      <c r="D23" s="37" t="s">
        <v>13</v>
      </c>
      <c r="E23" s="37" t="s">
        <v>14</v>
      </c>
      <c r="F23" s="38" t="s">
        <v>28</v>
      </c>
      <c r="G23" s="39" t="s">
        <v>29</v>
      </c>
    </row>
    <row r="24" spans="1:14" ht="20.100000000000001" customHeight="1" x14ac:dyDescent="0.2">
      <c r="A24" s="70" t="s">
        <v>188</v>
      </c>
      <c r="B24" s="70" t="s">
        <v>189</v>
      </c>
      <c r="C24" s="75" t="s">
        <v>190</v>
      </c>
      <c r="D24" s="70">
        <v>2</v>
      </c>
      <c r="E24" s="40"/>
      <c r="F24" s="41">
        <v>1</v>
      </c>
      <c r="G24" s="41">
        <v>1</v>
      </c>
    </row>
    <row r="25" spans="1:14" ht="20.100000000000001" customHeight="1" x14ac:dyDescent="0.2">
      <c r="A25" s="70" t="s">
        <v>191</v>
      </c>
      <c r="B25" s="70" t="s">
        <v>192</v>
      </c>
      <c r="C25" s="75" t="s">
        <v>193</v>
      </c>
      <c r="D25" s="70">
        <v>2</v>
      </c>
      <c r="E25" s="40"/>
      <c r="F25" s="41">
        <v>1</v>
      </c>
      <c r="G25" s="41">
        <v>1</v>
      </c>
    </row>
    <row r="26" spans="1:14" ht="20.100000000000001" customHeight="1" x14ac:dyDescent="0.2">
      <c r="A26" s="70" t="s">
        <v>194</v>
      </c>
      <c r="B26" s="70" t="s">
        <v>195</v>
      </c>
      <c r="C26" s="75" t="s">
        <v>196</v>
      </c>
      <c r="D26" s="70">
        <v>1</v>
      </c>
      <c r="E26" s="40"/>
      <c r="F26" s="41">
        <v>1</v>
      </c>
      <c r="G26" s="41">
        <v>2</v>
      </c>
    </row>
    <row r="27" spans="1:14" ht="20.100000000000001" customHeight="1" x14ac:dyDescent="0.2">
      <c r="A27" s="70" t="s">
        <v>197</v>
      </c>
      <c r="B27" s="70" t="s">
        <v>198</v>
      </c>
      <c r="C27" s="75" t="s">
        <v>199</v>
      </c>
      <c r="D27" s="70">
        <v>3</v>
      </c>
      <c r="E27" s="40"/>
      <c r="F27" s="41">
        <v>1</v>
      </c>
      <c r="G27" s="41">
        <v>1</v>
      </c>
    </row>
    <row r="28" spans="1:14" ht="20.100000000000001" customHeight="1" x14ac:dyDescent="0.2">
      <c r="A28" s="70" t="s">
        <v>200</v>
      </c>
      <c r="B28" s="70" t="s">
        <v>201</v>
      </c>
      <c r="C28" s="75" t="s">
        <v>202</v>
      </c>
      <c r="D28" s="70">
        <v>2</v>
      </c>
      <c r="E28" s="40"/>
      <c r="F28" s="41">
        <v>1</v>
      </c>
      <c r="G28" s="41">
        <v>5</v>
      </c>
    </row>
    <row r="29" spans="1:14" ht="20.100000000000001" customHeight="1" x14ac:dyDescent="0.2">
      <c r="A29" s="70" t="s">
        <v>203</v>
      </c>
      <c r="B29" s="70" t="s">
        <v>204</v>
      </c>
      <c r="C29" s="75" t="s">
        <v>205</v>
      </c>
      <c r="D29" s="70">
        <v>2</v>
      </c>
      <c r="E29" s="40"/>
      <c r="F29" s="41">
        <v>1</v>
      </c>
      <c r="G29" s="41">
        <v>1</v>
      </c>
    </row>
    <row r="30" spans="1:14" ht="20.100000000000001" customHeight="1" x14ac:dyDescent="0.2">
      <c r="A30" s="70" t="s">
        <v>206</v>
      </c>
      <c r="B30" s="70" t="s">
        <v>207</v>
      </c>
      <c r="C30" s="75" t="s">
        <v>208</v>
      </c>
      <c r="D30" s="70">
        <v>2</v>
      </c>
      <c r="E30" s="42"/>
      <c r="F30" s="41">
        <v>1</v>
      </c>
      <c r="G30" s="41">
        <v>1</v>
      </c>
    </row>
    <row r="31" spans="1:14" ht="20.100000000000001" customHeight="1" x14ac:dyDescent="0.2">
      <c r="A31" s="70" t="s">
        <v>209</v>
      </c>
      <c r="B31" s="70" t="s">
        <v>210</v>
      </c>
      <c r="C31" s="75" t="s">
        <v>211</v>
      </c>
      <c r="D31" s="70">
        <v>2</v>
      </c>
      <c r="E31" s="42"/>
      <c r="F31" s="41">
        <v>1</v>
      </c>
      <c r="G31" s="41">
        <v>2</v>
      </c>
    </row>
    <row r="32" spans="1:14" ht="20.100000000000001" customHeight="1" x14ac:dyDescent="0.2">
      <c r="A32" s="70" t="s">
        <v>212</v>
      </c>
      <c r="B32" s="70" t="s">
        <v>213</v>
      </c>
      <c r="C32" s="75" t="s">
        <v>214</v>
      </c>
      <c r="D32" s="70">
        <v>2</v>
      </c>
      <c r="E32" s="42"/>
      <c r="F32" s="41">
        <v>1</v>
      </c>
      <c r="G32" s="41">
        <v>1</v>
      </c>
    </row>
    <row r="33" spans="1:7" ht="20.100000000000001" customHeight="1" x14ac:dyDescent="0.25">
      <c r="A33" s="120"/>
      <c r="B33" s="121"/>
      <c r="C33" s="121"/>
      <c r="D33" s="71">
        <f>SUM(D24:D32)</f>
        <v>18</v>
      </c>
      <c r="E33" s="42"/>
      <c r="F33" s="41">
        <v>1</v>
      </c>
      <c r="G33" s="41">
        <v>5</v>
      </c>
    </row>
    <row r="34" spans="1:7" ht="20.100000000000001" customHeight="1" x14ac:dyDescent="0.2">
      <c r="A34" s="122" t="s">
        <v>215</v>
      </c>
      <c r="B34" s="70" t="s">
        <v>216</v>
      </c>
      <c r="C34" s="72" t="s">
        <v>217</v>
      </c>
      <c r="D34" s="70">
        <v>5</v>
      </c>
      <c r="E34" s="42"/>
      <c r="F34" s="41">
        <v>1</v>
      </c>
      <c r="G34" s="41">
        <v>2</v>
      </c>
    </row>
    <row r="35" spans="1:7" ht="20.100000000000001" customHeight="1" x14ac:dyDescent="0.2">
      <c r="A35" s="122" t="s">
        <v>218</v>
      </c>
      <c r="B35" s="70" t="s">
        <v>219</v>
      </c>
      <c r="C35" s="72" t="s">
        <v>220</v>
      </c>
      <c r="D35" s="70">
        <v>5</v>
      </c>
      <c r="E35" s="42"/>
      <c r="F35" s="41">
        <v>1</v>
      </c>
      <c r="G35" s="41">
        <v>2</v>
      </c>
    </row>
    <row r="36" spans="1:7" ht="20.100000000000001" customHeight="1" x14ac:dyDescent="0.2">
      <c r="A36" s="122" t="s">
        <v>221</v>
      </c>
      <c r="B36" s="70" t="s">
        <v>222</v>
      </c>
      <c r="C36" s="72" t="s">
        <v>223</v>
      </c>
      <c r="D36" s="70">
        <v>5</v>
      </c>
      <c r="E36" s="42"/>
      <c r="F36" s="41">
        <v>1</v>
      </c>
      <c r="G36" s="41">
        <v>2</v>
      </c>
    </row>
    <row r="37" spans="1:7" ht="20.100000000000001" customHeight="1" x14ac:dyDescent="0.2">
      <c r="A37" s="122" t="s">
        <v>224</v>
      </c>
      <c r="B37" s="70" t="s">
        <v>225</v>
      </c>
      <c r="C37" s="72" t="s">
        <v>226</v>
      </c>
      <c r="D37" s="70">
        <v>5</v>
      </c>
      <c r="E37" s="42"/>
      <c r="F37" s="41">
        <v>1</v>
      </c>
      <c r="G37" s="41">
        <v>2</v>
      </c>
    </row>
    <row r="38" spans="1:7" ht="20.100000000000001" customHeight="1" x14ac:dyDescent="0.2">
      <c r="A38" s="122" t="s">
        <v>227</v>
      </c>
      <c r="B38" s="70" t="s">
        <v>228</v>
      </c>
      <c r="C38" s="72" t="s">
        <v>229</v>
      </c>
      <c r="D38" s="70">
        <v>5</v>
      </c>
      <c r="E38" s="42"/>
      <c r="F38" s="41">
        <v>1</v>
      </c>
      <c r="G38" s="41">
        <v>1</v>
      </c>
    </row>
    <row r="39" spans="1:7" ht="20.100000000000001" customHeight="1" x14ac:dyDescent="0.2">
      <c r="A39" s="122" t="s">
        <v>230</v>
      </c>
      <c r="B39" s="70" t="s">
        <v>231</v>
      </c>
      <c r="C39" s="72" t="s">
        <v>232</v>
      </c>
      <c r="D39" s="70">
        <v>5</v>
      </c>
      <c r="E39" s="42"/>
      <c r="F39" s="41">
        <v>1</v>
      </c>
      <c r="G39" s="41">
        <v>1</v>
      </c>
    </row>
    <row r="40" spans="1:7" ht="20.100000000000001" customHeight="1" x14ac:dyDescent="0.2">
      <c r="A40" s="122" t="s">
        <v>233</v>
      </c>
      <c r="B40" s="70" t="s">
        <v>234</v>
      </c>
      <c r="C40" s="72" t="s">
        <v>235</v>
      </c>
      <c r="D40" s="70">
        <v>5</v>
      </c>
      <c r="E40" s="42"/>
      <c r="F40" s="41">
        <v>1</v>
      </c>
      <c r="G40" s="41">
        <v>10</v>
      </c>
    </row>
    <row r="41" spans="1:7" ht="20.100000000000001" customHeight="1" x14ac:dyDescent="0.2">
      <c r="A41" s="122" t="s">
        <v>236</v>
      </c>
      <c r="B41" s="70" t="s">
        <v>237</v>
      </c>
      <c r="C41" s="72" t="s">
        <v>238</v>
      </c>
      <c r="D41" s="70">
        <v>5</v>
      </c>
      <c r="E41" s="42"/>
      <c r="F41" s="41">
        <v>1</v>
      </c>
      <c r="G41" s="41">
        <v>2</v>
      </c>
    </row>
    <row r="42" spans="1:7" ht="20.100000000000001" customHeight="1" x14ac:dyDescent="0.2">
      <c r="A42" s="122" t="s">
        <v>239</v>
      </c>
      <c r="B42" s="70" t="s">
        <v>240</v>
      </c>
      <c r="C42" s="72" t="s">
        <v>241</v>
      </c>
      <c r="D42" s="70">
        <v>5</v>
      </c>
      <c r="E42" s="43"/>
      <c r="F42" s="41">
        <v>1</v>
      </c>
      <c r="G42" s="41">
        <v>1</v>
      </c>
    </row>
    <row r="43" spans="1:7" ht="20.100000000000001" customHeight="1" x14ac:dyDescent="0.2">
      <c r="A43" s="122" t="s">
        <v>242</v>
      </c>
      <c r="B43" s="70" t="s">
        <v>243</v>
      </c>
      <c r="C43" s="72" t="s">
        <v>244</v>
      </c>
      <c r="D43" s="70">
        <v>5</v>
      </c>
      <c r="E43" s="44"/>
      <c r="F43" s="41">
        <v>1</v>
      </c>
      <c r="G43" s="41">
        <v>2</v>
      </c>
    </row>
    <row r="44" spans="1:7" ht="20.100000000000001" customHeight="1" x14ac:dyDescent="0.2">
      <c r="A44" s="122" t="s">
        <v>245</v>
      </c>
      <c r="B44" s="70" t="s">
        <v>243</v>
      </c>
      <c r="C44" s="72" t="s">
        <v>246</v>
      </c>
      <c r="D44" s="70">
        <v>5</v>
      </c>
      <c r="E44" s="44"/>
      <c r="F44" s="41">
        <v>1</v>
      </c>
      <c r="G44" s="41">
        <v>2</v>
      </c>
    </row>
    <row r="45" spans="1:7" ht="20.100000000000001" customHeight="1" x14ac:dyDescent="0.2">
      <c r="A45" s="122" t="s">
        <v>247</v>
      </c>
      <c r="B45" s="70" t="s">
        <v>243</v>
      </c>
      <c r="C45" s="72" t="s">
        <v>248</v>
      </c>
      <c r="D45" s="70">
        <v>5</v>
      </c>
      <c r="E45" s="44"/>
      <c r="F45" s="41">
        <v>1</v>
      </c>
      <c r="G45" s="41">
        <v>1</v>
      </c>
    </row>
    <row r="46" spans="1:7" ht="20.100000000000001" customHeight="1" x14ac:dyDescent="0.25">
      <c r="A46" s="122"/>
      <c r="B46" s="70"/>
      <c r="C46" s="72"/>
      <c r="D46" s="71">
        <f>SUM(D34:D45)</f>
        <v>60</v>
      </c>
      <c r="E46" s="44"/>
      <c r="F46" s="41">
        <v>1</v>
      </c>
      <c r="G46" s="41">
        <v>1</v>
      </c>
    </row>
    <row r="47" spans="1:7" ht="20.100000000000001" customHeight="1" x14ac:dyDescent="0.2">
      <c r="A47" s="122" t="s">
        <v>249</v>
      </c>
      <c r="B47" s="70" t="s">
        <v>250</v>
      </c>
      <c r="C47" s="72" t="s">
        <v>251</v>
      </c>
      <c r="D47" s="70">
        <v>3</v>
      </c>
      <c r="E47" s="44"/>
      <c r="F47" s="41">
        <v>1</v>
      </c>
      <c r="G47" s="41">
        <v>9</v>
      </c>
    </row>
    <row r="48" spans="1:7" ht="20.100000000000001" customHeight="1" x14ac:dyDescent="0.2">
      <c r="A48" s="122" t="s">
        <v>249</v>
      </c>
      <c r="B48" s="70" t="s">
        <v>252</v>
      </c>
      <c r="C48" s="72" t="s">
        <v>251</v>
      </c>
      <c r="D48" s="70">
        <v>2</v>
      </c>
      <c r="E48" s="44"/>
      <c r="F48" s="41"/>
      <c r="G48" s="41"/>
    </row>
    <row r="49" spans="1:7" ht="20.100000000000001" customHeight="1" x14ac:dyDescent="0.2">
      <c r="A49" s="122" t="s">
        <v>253</v>
      </c>
      <c r="B49" s="70" t="s">
        <v>254</v>
      </c>
      <c r="C49" s="72" t="s">
        <v>255</v>
      </c>
      <c r="D49" s="70">
        <v>5</v>
      </c>
      <c r="E49" s="44"/>
      <c r="F49" s="41">
        <v>1</v>
      </c>
      <c r="G49" s="41">
        <v>1</v>
      </c>
    </row>
    <row r="50" spans="1:7" ht="20.100000000000001" customHeight="1" x14ac:dyDescent="0.2">
      <c r="A50" s="122" t="s">
        <v>256</v>
      </c>
      <c r="B50" s="70" t="s">
        <v>257</v>
      </c>
      <c r="C50" s="72" t="s">
        <v>258</v>
      </c>
      <c r="D50" s="70">
        <v>5</v>
      </c>
      <c r="E50" s="44"/>
      <c r="F50" s="41">
        <v>1</v>
      </c>
      <c r="G50" s="41">
        <v>1</v>
      </c>
    </row>
    <row r="51" spans="1:7" ht="20.100000000000001" customHeight="1" x14ac:dyDescent="0.2">
      <c r="A51" s="122" t="s">
        <v>259</v>
      </c>
      <c r="B51" s="70" t="s">
        <v>260</v>
      </c>
      <c r="C51" s="72" t="s">
        <v>261</v>
      </c>
      <c r="D51" s="70">
        <v>5</v>
      </c>
      <c r="E51" s="44"/>
      <c r="F51" s="41">
        <v>1</v>
      </c>
      <c r="G51" s="41">
        <v>1</v>
      </c>
    </row>
    <row r="52" spans="1:7" ht="20.100000000000001" customHeight="1" x14ac:dyDescent="0.2">
      <c r="A52" s="122" t="s">
        <v>262</v>
      </c>
      <c r="B52" s="70" t="s">
        <v>263</v>
      </c>
      <c r="C52" s="72" t="s">
        <v>264</v>
      </c>
      <c r="D52" s="70">
        <v>5</v>
      </c>
      <c r="E52" s="45"/>
      <c r="F52" s="41">
        <v>1</v>
      </c>
      <c r="G52" s="41">
        <v>0</v>
      </c>
    </row>
    <row r="53" spans="1:7" ht="20.100000000000001" customHeight="1" x14ac:dyDescent="0.2">
      <c r="A53" s="122" t="s">
        <v>265</v>
      </c>
      <c r="B53" s="70" t="s">
        <v>250</v>
      </c>
      <c r="C53" s="72" t="s">
        <v>266</v>
      </c>
      <c r="D53" s="70">
        <v>3</v>
      </c>
      <c r="E53" s="45"/>
      <c r="F53" s="41">
        <v>1</v>
      </c>
      <c r="G53" s="41">
        <v>1</v>
      </c>
    </row>
    <row r="54" spans="1:7" ht="20.100000000000001" customHeight="1" x14ac:dyDescent="0.2">
      <c r="A54" s="122" t="s">
        <v>265</v>
      </c>
      <c r="B54" s="70" t="s">
        <v>267</v>
      </c>
      <c r="C54" s="72" t="s">
        <v>266</v>
      </c>
      <c r="D54" s="70">
        <v>2</v>
      </c>
      <c r="E54" s="45"/>
      <c r="F54" s="41">
        <v>1</v>
      </c>
      <c r="G54" s="41">
        <v>1</v>
      </c>
    </row>
    <row r="55" spans="1:7" ht="20.100000000000001" customHeight="1" x14ac:dyDescent="0.2">
      <c r="A55" s="122" t="s">
        <v>268</v>
      </c>
      <c r="B55" s="70" t="s">
        <v>269</v>
      </c>
      <c r="C55" s="72" t="s">
        <v>270</v>
      </c>
      <c r="D55" s="70">
        <v>5</v>
      </c>
      <c r="E55" s="45"/>
      <c r="F55" s="41">
        <v>1</v>
      </c>
      <c r="G55" s="41">
        <v>1</v>
      </c>
    </row>
    <row r="56" spans="1:7" ht="20.100000000000001" customHeight="1" x14ac:dyDescent="0.2">
      <c r="A56" s="122" t="s">
        <v>271</v>
      </c>
      <c r="B56" s="70" t="s">
        <v>272</v>
      </c>
      <c r="C56" s="72" t="s">
        <v>273</v>
      </c>
      <c r="D56" s="70">
        <v>5</v>
      </c>
      <c r="E56" s="45"/>
      <c r="F56" s="41">
        <v>1</v>
      </c>
      <c r="G56" s="41">
        <v>7</v>
      </c>
    </row>
    <row r="57" spans="1:7" ht="20.100000000000001" customHeight="1" x14ac:dyDescent="0.2">
      <c r="A57" s="122" t="s">
        <v>274</v>
      </c>
      <c r="B57" s="70" t="s">
        <v>275</v>
      </c>
      <c r="C57" s="72" t="s">
        <v>276</v>
      </c>
      <c r="D57" s="70">
        <v>5</v>
      </c>
      <c r="E57" s="45"/>
      <c r="F57" s="41">
        <v>1</v>
      </c>
      <c r="G57" s="41">
        <v>1</v>
      </c>
    </row>
    <row r="58" spans="1:7" ht="20.100000000000001" customHeight="1" x14ac:dyDescent="0.2">
      <c r="A58" s="122" t="s">
        <v>277</v>
      </c>
      <c r="B58" s="70" t="s">
        <v>278</v>
      </c>
      <c r="C58" s="72" t="s">
        <v>279</v>
      </c>
      <c r="D58" s="70">
        <v>5</v>
      </c>
      <c r="E58" s="45"/>
      <c r="F58" s="41">
        <v>1</v>
      </c>
      <c r="G58" s="41">
        <v>1</v>
      </c>
    </row>
    <row r="59" spans="1:7" ht="20.100000000000001" customHeight="1" x14ac:dyDescent="0.2">
      <c r="A59" s="122" t="s">
        <v>280</v>
      </c>
      <c r="B59" s="70" t="s">
        <v>281</v>
      </c>
      <c r="C59" s="72" t="s">
        <v>282</v>
      </c>
      <c r="D59" s="70">
        <v>5</v>
      </c>
      <c r="E59" s="45"/>
      <c r="F59" s="41">
        <v>1</v>
      </c>
      <c r="G59" s="41">
        <v>1</v>
      </c>
    </row>
    <row r="60" spans="1:7" ht="20.100000000000001" customHeight="1" x14ac:dyDescent="0.2">
      <c r="A60" s="122" t="s">
        <v>283</v>
      </c>
      <c r="B60" s="70" t="s">
        <v>281</v>
      </c>
      <c r="C60" s="72" t="s">
        <v>284</v>
      </c>
      <c r="D60" s="70">
        <v>5</v>
      </c>
      <c r="E60" s="45"/>
      <c r="F60" s="41">
        <v>1</v>
      </c>
      <c r="G60" s="41">
        <v>1</v>
      </c>
    </row>
    <row r="61" spans="1:7" ht="20.100000000000001" customHeight="1" x14ac:dyDescent="0.2">
      <c r="A61" s="122" t="s">
        <v>285</v>
      </c>
      <c r="B61" s="70" t="s">
        <v>286</v>
      </c>
      <c r="C61" s="72" t="s">
        <v>287</v>
      </c>
      <c r="D61" s="70">
        <v>5</v>
      </c>
      <c r="E61" s="45"/>
      <c r="F61" s="41">
        <v>1</v>
      </c>
      <c r="G61" s="41">
        <v>1</v>
      </c>
    </row>
    <row r="62" spans="1:7" ht="20.100000000000001" customHeight="1" x14ac:dyDescent="0.2">
      <c r="A62" s="122" t="s">
        <v>288</v>
      </c>
      <c r="B62" s="70" t="s">
        <v>289</v>
      </c>
      <c r="C62" s="72" t="s">
        <v>290</v>
      </c>
      <c r="D62" s="70">
        <v>5</v>
      </c>
      <c r="E62" s="45"/>
      <c r="F62" s="41">
        <v>1</v>
      </c>
      <c r="G62" s="41">
        <v>1</v>
      </c>
    </row>
    <row r="63" spans="1:7" ht="20.100000000000001" customHeight="1" x14ac:dyDescent="0.25">
      <c r="A63" s="122"/>
      <c r="B63" s="70"/>
      <c r="C63" s="72"/>
      <c r="D63" s="71">
        <f>SUM(D47:D62)</f>
        <v>70</v>
      </c>
      <c r="E63" s="45"/>
      <c r="F63" s="41">
        <v>1</v>
      </c>
      <c r="G63" s="41">
        <v>6</v>
      </c>
    </row>
    <row r="64" spans="1:7" ht="20.100000000000001" customHeight="1" x14ac:dyDescent="0.25">
      <c r="A64" s="70" t="s">
        <v>285</v>
      </c>
      <c r="B64" s="70" t="s">
        <v>286</v>
      </c>
      <c r="C64" s="75" t="s">
        <v>287</v>
      </c>
      <c r="D64" s="123">
        <v>5</v>
      </c>
      <c r="E64" s="45"/>
      <c r="F64" s="41">
        <v>1</v>
      </c>
      <c r="G64" s="41">
        <v>1</v>
      </c>
    </row>
    <row r="65" spans="1:7" ht="20.100000000000001" customHeight="1" x14ac:dyDescent="0.25">
      <c r="A65" s="70" t="s">
        <v>288</v>
      </c>
      <c r="B65" s="70" t="s">
        <v>289</v>
      </c>
      <c r="C65" s="75" t="s">
        <v>290</v>
      </c>
      <c r="D65" s="123">
        <v>5</v>
      </c>
      <c r="E65" s="45"/>
      <c r="F65" s="41">
        <v>1</v>
      </c>
      <c r="G65" s="41">
        <v>1</v>
      </c>
    </row>
    <row r="66" spans="1:7" ht="20.100000000000001" customHeight="1" x14ac:dyDescent="0.25">
      <c r="A66" s="70"/>
      <c r="B66" s="70"/>
      <c r="C66" s="75"/>
      <c r="D66" s="74">
        <f>SUM(D64:D65)</f>
        <v>10</v>
      </c>
      <c r="E66" s="45"/>
      <c r="F66" s="41">
        <v>1</v>
      </c>
      <c r="G66" s="41">
        <v>1</v>
      </c>
    </row>
    <row r="67" spans="1:7" ht="20.100000000000001" customHeight="1" x14ac:dyDescent="0.2">
      <c r="A67" s="124" t="s">
        <v>291</v>
      </c>
      <c r="B67" s="125" t="s">
        <v>292</v>
      </c>
      <c r="C67" s="121" t="s">
        <v>293</v>
      </c>
      <c r="D67" s="70">
        <v>2</v>
      </c>
      <c r="E67" s="45"/>
      <c r="F67" s="41">
        <v>1</v>
      </c>
      <c r="G67" s="41">
        <v>1</v>
      </c>
    </row>
    <row r="68" spans="1:7" ht="20.100000000000001" customHeight="1" x14ac:dyDescent="0.2">
      <c r="A68" s="124" t="s">
        <v>294</v>
      </c>
      <c r="B68" s="125" t="s">
        <v>295</v>
      </c>
      <c r="C68" s="121" t="s">
        <v>296</v>
      </c>
      <c r="D68" s="70">
        <v>2</v>
      </c>
      <c r="E68" s="45"/>
      <c r="F68" s="41">
        <v>1</v>
      </c>
      <c r="G68" s="41">
        <v>4</v>
      </c>
    </row>
    <row r="69" spans="1:7" ht="20.100000000000001" customHeight="1" x14ac:dyDescent="0.2">
      <c r="A69" s="70" t="s">
        <v>297</v>
      </c>
      <c r="B69" s="70" t="s">
        <v>298</v>
      </c>
      <c r="C69" s="75" t="s">
        <v>299</v>
      </c>
      <c r="D69" s="70">
        <v>0</v>
      </c>
      <c r="E69" s="45"/>
      <c r="F69" s="41">
        <v>1</v>
      </c>
      <c r="G69" s="41">
        <v>0</v>
      </c>
    </row>
    <row r="70" spans="1:7" ht="20.100000000000001" customHeight="1" x14ac:dyDescent="0.2">
      <c r="A70" s="70" t="s">
        <v>300</v>
      </c>
      <c r="B70" s="70" t="s">
        <v>301</v>
      </c>
      <c r="C70" s="75" t="s">
        <v>302</v>
      </c>
      <c r="D70" s="70">
        <v>0</v>
      </c>
      <c r="E70" s="45"/>
      <c r="F70" s="41">
        <v>1</v>
      </c>
      <c r="G70" s="41">
        <v>1</v>
      </c>
    </row>
    <row r="71" spans="1:7" ht="20.100000000000001" customHeight="1" x14ac:dyDescent="0.2">
      <c r="A71" s="70" t="s">
        <v>303</v>
      </c>
      <c r="B71" s="70" t="s">
        <v>304</v>
      </c>
      <c r="C71" s="75" t="s">
        <v>305</v>
      </c>
      <c r="D71" s="70">
        <v>2</v>
      </c>
      <c r="E71" s="45"/>
      <c r="F71" s="41">
        <v>1</v>
      </c>
      <c r="G71" s="41">
        <v>1</v>
      </c>
    </row>
    <row r="72" spans="1:7" ht="20.100000000000001" customHeight="1" x14ac:dyDescent="0.2">
      <c r="A72" s="70" t="s">
        <v>306</v>
      </c>
      <c r="B72" s="70" t="s">
        <v>307</v>
      </c>
      <c r="C72" s="75" t="s">
        <v>308</v>
      </c>
      <c r="D72" s="70">
        <v>2</v>
      </c>
      <c r="E72" s="45"/>
      <c r="F72" s="41">
        <v>1</v>
      </c>
      <c r="G72" s="41">
        <v>0</v>
      </c>
    </row>
    <row r="73" spans="1:7" ht="20.100000000000001" customHeight="1" x14ac:dyDescent="0.2">
      <c r="A73" s="70" t="s">
        <v>309</v>
      </c>
      <c r="B73" s="70" t="s">
        <v>310</v>
      </c>
      <c r="C73" s="75" t="s">
        <v>311</v>
      </c>
      <c r="D73" s="70">
        <v>1</v>
      </c>
      <c r="E73" s="45"/>
      <c r="F73" s="41">
        <v>1</v>
      </c>
      <c r="G73" s="41">
        <v>1</v>
      </c>
    </row>
    <row r="74" spans="1:7" ht="20.100000000000001" customHeight="1" x14ac:dyDescent="0.2">
      <c r="A74" s="70" t="s">
        <v>309</v>
      </c>
      <c r="B74" s="70" t="s">
        <v>312</v>
      </c>
      <c r="C74" s="75" t="s">
        <v>311</v>
      </c>
      <c r="D74" s="70">
        <v>1</v>
      </c>
      <c r="E74" s="45"/>
      <c r="F74" s="41"/>
      <c r="G74" s="41"/>
    </row>
    <row r="75" spans="1:7" ht="20.100000000000001" customHeight="1" x14ac:dyDescent="0.2">
      <c r="A75" s="70" t="s">
        <v>313</v>
      </c>
      <c r="B75" s="70" t="s">
        <v>314</v>
      </c>
      <c r="C75" s="75" t="s">
        <v>315</v>
      </c>
      <c r="D75" s="70">
        <v>2</v>
      </c>
      <c r="E75" s="45"/>
      <c r="F75" s="41">
        <v>1</v>
      </c>
      <c r="G75" s="41">
        <v>4</v>
      </c>
    </row>
    <row r="76" spans="1:7" ht="20.100000000000001" customHeight="1" x14ac:dyDescent="0.2">
      <c r="A76" s="70" t="s">
        <v>316</v>
      </c>
      <c r="B76" s="70" t="s">
        <v>317</v>
      </c>
      <c r="C76" s="75" t="s">
        <v>318</v>
      </c>
      <c r="D76" s="70">
        <v>2</v>
      </c>
      <c r="E76" s="45"/>
      <c r="F76" s="41">
        <v>1</v>
      </c>
      <c r="G76" s="41">
        <v>2</v>
      </c>
    </row>
    <row r="77" spans="1:7" ht="20.100000000000001" customHeight="1" x14ac:dyDescent="0.25">
      <c r="A77" s="70"/>
      <c r="B77" s="70"/>
      <c r="C77" s="75"/>
      <c r="D77" s="71">
        <f>SUM(D67:D76)</f>
        <v>14</v>
      </c>
      <c r="E77" s="46"/>
      <c r="F77" s="57">
        <v>1</v>
      </c>
      <c r="G77" s="41">
        <v>2</v>
      </c>
    </row>
    <row r="78" spans="1:7" ht="20.100000000000001" customHeight="1" x14ac:dyDescent="0.2">
      <c r="A78" s="70" t="s">
        <v>319</v>
      </c>
      <c r="B78" s="70" t="s">
        <v>320</v>
      </c>
      <c r="C78" s="75" t="s">
        <v>321</v>
      </c>
      <c r="D78" s="70">
        <v>2</v>
      </c>
      <c r="E78" s="46"/>
      <c r="F78" s="57">
        <v>1</v>
      </c>
      <c r="G78" s="41">
        <v>2</v>
      </c>
    </row>
    <row r="79" spans="1:7" ht="20.100000000000001" customHeight="1" x14ac:dyDescent="0.2">
      <c r="A79" s="70" t="s">
        <v>322</v>
      </c>
      <c r="B79" s="70" t="s">
        <v>323</v>
      </c>
      <c r="C79" s="75" t="s">
        <v>324</v>
      </c>
      <c r="D79" s="70">
        <v>3</v>
      </c>
      <c r="E79" s="46"/>
      <c r="F79" s="57">
        <v>1</v>
      </c>
      <c r="G79" s="41">
        <v>2</v>
      </c>
    </row>
    <row r="80" spans="1:7" ht="20.100000000000001" customHeight="1" x14ac:dyDescent="0.2">
      <c r="A80" s="70" t="s">
        <v>325</v>
      </c>
      <c r="B80" s="70" t="s">
        <v>326</v>
      </c>
      <c r="C80" s="75" t="s">
        <v>327</v>
      </c>
      <c r="D80" s="70">
        <v>2</v>
      </c>
      <c r="E80" s="46"/>
      <c r="F80" s="57">
        <v>1</v>
      </c>
      <c r="G80" s="41">
        <v>2</v>
      </c>
    </row>
    <row r="81" spans="1:7" ht="20.100000000000001" customHeight="1" x14ac:dyDescent="0.2">
      <c r="A81" s="70" t="s">
        <v>328</v>
      </c>
      <c r="B81" s="70" t="s">
        <v>329</v>
      </c>
      <c r="C81" s="75" t="s">
        <v>330</v>
      </c>
      <c r="D81" s="70">
        <v>1</v>
      </c>
      <c r="E81" s="46"/>
      <c r="F81" s="57">
        <v>1</v>
      </c>
      <c r="G81" s="41">
        <v>2</v>
      </c>
    </row>
    <row r="82" spans="1:7" ht="20.100000000000001" customHeight="1" x14ac:dyDescent="0.2">
      <c r="A82" s="70" t="s">
        <v>331</v>
      </c>
      <c r="B82" s="70" t="s">
        <v>332</v>
      </c>
      <c r="C82" s="75" t="s">
        <v>333</v>
      </c>
      <c r="D82" s="70">
        <v>1</v>
      </c>
      <c r="E82" s="46"/>
      <c r="F82" s="57">
        <v>1</v>
      </c>
      <c r="G82" s="41">
        <v>2</v>
      </c>
    </row>
    <row r="83" spans="1:7" ht="20.100000000000001" customHeight="1" x14ac:dyDescent="0.2">
      <c r="A83" s="70" t="s">
        <v>334</v>
      </c>
      <c r="B83" s="70" t="s">
        <v>335</v>
      </c>
      <c r="C83" s="75" t="s">
        <v>336</v>
      </c>
      <c r="D83" s="70">
        <v>2</v>
      </c>
      <c r="E83" s="46"/>
      <c r="F83" s="57">
        <v>1</v>
      </c>
      <c r="G83" s="41">
        <v>2</v>
      </c>
    </row>
    <row r="84" spans="1:7" ht="20.100000000000001" customHeight="1" x14ac:dyDescent="0.2">
      <c r="A84" s="70" t="s">
        <v>337</v>
      </c>
      <c r="B84" s="70" t="s">
        <v>338</v>
      </c>
      <c r="C84" s="75" t="s">
        <v>339</v>
      </c>
      <c r="D84" s="70">
        <v>2</v>
      </c>
      <c r="E84" s="46"/>
      <c r="F84" s="57"/>
      <c r="G84" s="41"/>
    </row>
    <row r="85" spans="1:7" ht="20.100000000000001" customHeight="1" x14ac:dyDescent="0.2">
      <c r="A85" s="70" t="s">
        <v>340</v>
      </c>
      <c r="B85" s="70" t="s">
        <v>341</v>
      </c>
      <c r="C85" s="75" t="s">
        <v>342</v>
      </c>
      <c r="D85" s="70">
        <v>2</v>
      </c>
      <c r="E85" s="46"/>
      <c r="F85" s="57">
        <v>1</v>
      </c>
      <c r="G85" s="41">
        <v>2</v>
      </c>
    </row>
    <row r="86" spans="1:7" ht="20.100000000000001" customHeight="1" x14ac:dyDescent="0.2">
      <c r="A86" s="70" t="s">
        <v>343</v>
      </c>
      <c r="B86" s="70" t="s">
        <v>344</v>
      </c>
      <c r="C86" s="75" t="s">
        <v>345</v>
      </c>
      <c r="D86" s="70">
        <v>2</v>
      </c>
      <c r="E86" s="46"/>
      <c r="F86" s="57"/>
      <c r="G86" s="41"/>
    </row>
    <row r="87" spans="1:7" ht="20.100000000000001" customHeight="1" x14ac:dyDescent="0.2">
      <c r="A87" s="70" t="s">
        <v>346</v>
      </c>
      <c r="B87" s="70" t="s">
        <v>347</v>
      </c>
      <c r="C87" s="75" t="s">
        <v>348</v>
      </c>
      <c r="D87" s="70">
        <v>2</v>
      </c>
      <c r="E87" s="46"/>
      <c r="F87" s="57"/>
      <c r="G87" s="41"/>
    </row>
    <row r="88" spans="1:7" ht="20.100000000000001" customHeight="1" x14ac:dyDescent="0.2">
      <c r="A88" s="124" t="s">
        <v>349</v>
      </c>
      <c r="B88" s="125">
        <v>190704155</v>
      </c>
      <c r="C88" s="121" t="s">
        <v>350</v>
      </c>
      <c r="D88" s="70">
        <v>1</v>
      </c>
      <c r="E88" s="46"/>
      <c r="F88" s="57"/>
      <c r="G88" s="41"/>
    </row>
    <row r="89" spans="1:7" ht="20.100000000000001" customHeight="1" x14ac:dyDescent="0.25">
      <c r="A89" s="120"/>
      <c r="B89" s="121"/>
      <c r="C89" s="121"/>
      <c r="D89" s="71">
        <f>SUM(D78:D88)</f>
        <v>20</v>
      </c>
      <c r="E89" s="46"/>
      <c r="F89" s="57"/>
      <c r="G89" s="41"/>
    </row>
    <row r="90" spans="1:7" ht="20.100000000000001" customHeight="1" x14ac:dyDescent="0.2">
      <c r="A90" s="124" t="s">
        <v>351</v>
      </c>
      <c r="B90" s="125" t="s">
        <v>352</v>
      </c>
      <c r="C90" s="75" t="s">
        <v>353</v>
      </c>
      <c r="D90" s="70">
        <v>5</v>
      </c>
      <c r="E90" s="46"/>
      <c r="F90" s="57"/>
      <c r="G90" s="41"/>
    </row>
    <row r="91" spans="1:7" ht="20.100000000000001" customHeight="1" x14ac:dyDescent="0.2">
      <c r="A91" s="124" t="s">
        <v>354</v>
      </c>
      <c r="B91" s="125" t="s">
        <v>355</v>
      </c>
      <c r="C91" s="75" t="s">
        <v>356</v>
      </c>
      <c r="D91" s="70">
        <v>5</v>
      </c>
      <c r="E91" s="46"/>
      <c r="F91" s="57"/>
      <c r="G91" s="41"/>
    </row>
    <row r="92" spans="1:7" ht="20.100000000000001" customHeight="1" x14ac:dyDescent="0.2">
      <c r="A92" s="124" t="s">
        <v>357</v>
      </c>
      <c r="B92" s="125" t="s">
        <v>358</v>
      </c>
      <c r="C92" s="75" t="s">
        <v>359</v>
      </c>
      <c r="D92" s="70">
        <v>5</v>
      </c>
      <c r="E92" s="46"/>
      <c r="F92" s="57"/>
      <c r="G92" s="41"/>
    </row>
    <row r="93" spans="1:7" ht="20.100000000000001" customHeight="1" x14ac:dyDescent="0.2">
      <c r="A93" s="124" t="s">
        <v>360</v>
      </c>
      <c r="B93" s="125" t="s">
        <v>361</v>
      </c>
      <c r="C93" s="75" t="s">
        <v>362</v>
      </c>
      <c r="D93" s="70">
        <v>5</v>
      </c>
      <c r="E93" s="46"/>
      <c r="F93" s="57"/>
      <c r="G93" s="41"/>
    </row>
    <row r="94" spans="1:7" ht="20.100000000000001" customHeight="1" x14ac:dyDescent="0.2">
      <c r="A94" s="124" t="s">
        <v>363</v>
      </c>
      <c r="B94" s="125" t="s">
        <v>364</v>
      </c>
      <c r="C94" s="75" t="s">
        <v>365</v>
      </c>
      <c r="D94" s="70">
        <v>5</v>
      </c>
      <c r="E94" s="46"/>
      <c r="F94" s="57"/>
      <c r="G94" s="41"/>
    </row>
    <row r="95" spans="1:7" ht="20.100000000000001" customHeight="1" x14ac:dyDescent="0.2">
      <c r="A95" s="124" t="s">
        <v>366</v>
      </c>
      <c r="B95" s="125" t="s">
        <v>367</v>
      </c>
      <c r="C95" s="75" t="s">
        <v>368</v>
      </c>
      <c r="D95" s="70">
        <v>5</v>
      </c>
      <c r="E95" s="46"/>
      <c r="F95" s="57"/>
      <c r="G95" s="41"/>
    </row>
    <row r="96" spans="1:7" ht="20.100000000000001" customHeight="1" x14ac:dyDescent="0.2">
      <c r="A96" s="124" t="s">
        <v>369</v>
      </c>
      <c r="B96" s="125" t="s">
        <v>370</v>
      </c>
      <c r="C96" s="75" t="s">
        <v>371</v>
      </c>
      <c r="D96" s="70">
        <v>1</v>
      </c>
      <c r="E96" s="46"/>
      <c r="F96" s="57"/>
      <c r="G96" s="41"/>
    </row>
    <row r="97" spans="1:7" ht="20.100000000000001" customHeight="1" x14ac:dyDescent="0.2">
      <c r="A97" s="124" t="s">
        <v>369</v>
      </c>
      <c r="B97" s="125" t="s">
        <v>372</v>
      </c>
      <c r="C97" s="75" t="s">
        <v>371</v>
      </c>
      <c r="D97" s="70">
        <v>4</v>
      </c>
      <c r="E97" s="46"/>
      <c r="F97" s="57"/>
      <c r="G97" s="41"/>
    </row>
    <row r="98" spans="1:7" ht="20.100000000000001" customHeight="1" x14ac:dyDescent="0.2">
      <c r="A98" s="124" t="s">
        <v>373</v>
      </c>
      <c r="B98" s="125" t="s">
        <v>374</v>
      </c>
      <c r="C98" s="75" t="s">
        <v>375</v>
      </c>
      <c r="D98" s="70">
        <v>3</v>
      </c>
      <c r="E98" s="46"/>
      <c r="F98" s="57"/>
      <c r="G98" s="41"/>
    </row>
    <row r="99" spans="1:7" ht="20.100000000000001" customHeight="1" x14ac:dyDescent="0.2">
      <c r="A99" s="124" t="s">
        <v>373</v>
      </c>
      <c r="B99" s="125" t="s">
        <v>376</v>
      </c>
      <c r="C99" s="75" t="s">
        <v>375</v>
      </c>
      <c r="D99" s="70">
        <v>2</v>
      </c>
      <c r="E99" s="46"/>
      <c r="F99" s="57"/>
      <c r="G99" s="41"/>
    </row>
    <row r="100" spans="1:7" ht="20.100000000000001" customHeight="1" x14ac:dyDescent="0.2">
      <c r="A100" s="124" t="s">
        <v>377</v>
      </c>
      <c r="B100" s="125" t="s">
        <v>378</v>
      </c>
      <c r="C100" s="75" t="s">
        <v>379</v>
      </c>
      <c r="D100" s="70">
        <v>4</v>
      </c>
      <c r="E100" s="46"/>
      <c r="F100" s="57"/>
      <c r="G100" s="41"/>
    </row>
    <row r="101" spans="1:7" ht="20.100000000000001" customHeight="1" x14ac:dyDescent="0.2">
      <c r="A101" s="124" t="s">
        <v>380</v>
      </c>
      <c r="B101" s="125" t="s">
        <v>381</v>
      </c>
      <c r="C101" s="75" t="s">
        <v>382</v>
      </c>
      <c r="D101" s="70">
        <v>5</v>
      </c>
      <c r="E101" s="46"/>
      <c r="F101" s="41"/>
      <c r="G101" s="41"/>
    </row>
    <row r="102" spans="1:7" ht="20.100000000000001" customHeight="1" x14ac:dyDescent="0.2">
      <c r="A102" s="124" t="s">
        <v>383</v>
      </c>
      <c r="B102" s="125" t="s">
        <v>384</v>
      </c>
      <c r="C102" s="75" t="s">
        <v>385</v>
      </c>
      <c r="D102" s="70">
        <v>5</v>
      </c>
      <c r="E102" s="46"/>
      <c r="F102" s="57"/>
      <c r="G102" s="41"/>
    </row>
    <row r="103" spans="1:7" ht="20.100000000000001" customHeight="1" x14ac:dyDescent="0.2">
      <c r="A103" s="124" t="s">
        <v>386</v>
      </c>
      <c r="B103" s="125" t="s">
        <v>387</v>
      </c>
      <c r="C103" s="75" t="s">
        <v>388</v>
      </c>
      <c r="D103" s="70">
        <v>5</v>
      </c>
      <c r="E103" s="46"/>
      <c r="F103" s="57"/>
      <c r="G103" s="41"/>
    </row>
    <row r="104" spans="1:7" ht="20.100000000000001" customHeight="1" x14ac:dyDescent="0.25">
      <c r="A104" s="124"/>
      <c r="B104" s="125"/>
      <c r="C104" s="121"/>
      <c r="D104" s="71">
        <f>SUM(D90:D103)</f>
        <v>59</v>
      </c>
      <c r="E104" s="46"/>
      <c r="F104" s="57"/>
      <c r="G104" s="41"/>
    </row>
    <row r="105" spans="1:7" ht="20.100000000000001" customHeight="1" x14ac:dyDescent="0.2">
      <c r="A105" s="124" t="s">
        <v>389</v>
      </c>
      <c r="B105" s="125" t="s">
        <v>390</v>
      </c>
      <c r="C105" s="75" t="s">
        <v>391</v>
      </c>
      <c r="D105" s="70">
        <v>5</v>
      </c>
      <c r="E105" s="46"/>
      <c r="F105" s="57"/>
      <c r="G105" s="41"/>
    </row>
    <row r="106" spans="1:7" ht="20.100000000000001" customHeight="1" x14ac:dyDescent="0.2">
      <c r="A106" s="124" t="s">
        <v>392</v>
      </c>
      <c r="B106" s="125" t="s">
        <v>390</v>
      </c>
      <c r="C106" s="75" t="s">
        <v>393</v>
      </c>
      <c r="D106" s="70">
        <v>5</v>
      </c>
      <c r="E106" s="46"/>
      <c r="F106" s="57"/>
      <c r="G106" s="41"/>
    </row>
    <row r="107" spans="1:7" ht="20.100000000000001" customHeight="1" x14ac:dyDescent="0.2">
      <c r="A107" s="124" t="s">
        <v>394</v>
      </c>
      <c r="B107" s="125" t="s">
        <v>390</v>
      </c>
      <c r="C107" s="75" t="s">
        <v>395</v>
      </c>
      <c r="D107" s="70">
        <v>4</v>
      </c>
      <c r="E107" s="46"/>
      <c r="F107" s="57"/>
      <c r="G107" s="41"/>
    </row>
    <row r="108" spans="1:7" ht="20.100000000000001" customHeight="1" x14ac:dyDescent="0.2">
      <c r="A108" s="124" t="s">
        <v>394</v>
      </c>
      <c r="B108" s="125" t="s">
        <v>396</v>
      </c>
      <c r="C108" s="75" t="s">
        <v>395</v>
      </c>
      <c r="D108" s="70">
        <v>1</v>
      </c>
      <c r="E108" s="46"/>
      <c r="F108" s="57"/>
      <c r="G108" s="41"/>
    </row>
    <row r="109" spans="1:7" ht="20.100000000000001" customHeight="1" x14ac:dyDescent="0.2">
      <c r="A109" s="124" t="s">
        <v>397</v>
      </c>
      <c r="B109" s="125" t="s">
        <v>390</v>
      </c>
      <c r="C109" s="75" t="s">
        <v>398</v>
      </c>
      <c r="D109" s="70">
        <v>5</v>
      </c>
      <c r="E109" s="46"/>
      <c r="F109" s="57"/>
      <c r="G109" s="41"/>
    </row>
    <row r="110" spans="1:7" ht="20.100000000000001" customHeight="1" x14ac:dyDescent="0.2">
      <c r="A110" s="124" t="s">
        <v>399</v>
      </c>
      <c r="B110" s="125" t="s">
        <v>400</v>
      </c>
      <c r="C110" s="75" t="s">
        <v>401</v>
      </c>
      <c r="D110" s="70">
        <v>5</v>
      </c>
      <c r="E110" s="46"/>
      <c r="F110" s="57"/>
      <c r="G110" s="41"/>
    </row>
    <row r="111" spans="1:7" ht="20.100000000000001" customHeight="1" x14ac:dyDescent="0.2">
      <c r="A111" s="124" t="s">
        <v>402</v>
      </c>
      <c r="B111" s="125" t="s">
        <v>403</v>
      </c>
      <c r="C111" s="75" t="s">
        <v>404</v>
      </c>
      <c r="D111" s="70">
        <v>5</v>
      </c>
      <c r="E111" s="46"/>
      <c r="F111" s="57"/>
      <c r="G111" s="41"/>
    </row>
    <row r="112" spans="1:7" ht="20.100000000000001" customHeight="1" x14ac:dyDescent="0.2">
      <c r="A112" s="124" t="s">
        <v>405</v>
      </c>
      <c r="B112" s="125" t="s">
        <v>406</v>
      </c>
      <c r="C112" s="75" t="s">
        <v>407</v>
      </c>
      <c r="D112" s="70">
        <v>4</v>
      </c>
      <c r="E112" s="46"/>
      <c r="F112" s="57"/>
      <c r="G112" s="41"/>
    </row>
    <row r="113" spans="1:7" ht="20.100000000000001" customHeight="1" x14ac:dyDescent="0.2">
      <c r="A113" s="124" t="s">
        <v>405</v>
      </c>
      <c r="B113" s="125" t="s">
        <v>372</v>
      </c>
      <c r="C113" s="75" t="s">
        <v>407</v>
      </c>
      <c r="D113" s="70">
        <v>1</v>
      </c>
      <c r="E113" s="46"/>
      <c r="F113" s="57"/>
      <c r="G113" s="41"/>
    </row>
    <row r="114" spans="1:7" ht="20.100000000000001" customHeight="1" x14ac:dyDescent="0.2">
      <c r="A114" s="124" t="s">
        <v>408</v>
      </c>
      <c r="B114" s="125" t="s">
        <v>390</v>
      </c>
      <c r="C114" s="75" t="s">
        <v>409</v>
      </c>
      <c r="D114" s="70">
        <v>3</v>
      </c>
      <c r="E114" s="46"/>
      <c r="F114" s="57"/>
      <c r="G114" s="41"/>
    </row>
    <row r="115" spans="1:7" ht="20.100000000000001" customHeight="1" x14ac:dyDescent="0.2">
      <c r="A115" s="124" t="s">
        <v>410</v>
      </c>
      <c r="B115" s="125" t="s">
        <v>390</v>
      </c>
      <c r="C115" s="75" t="s">
        <v>411</v>
      </c>
      <c r="D115" s="70">
        <v>2</v>
      </c>
      <c r="E115" s="46"/>
      <c r="F115" s="57"/>
      <c r="G115" s="41"/>
    </row>
    <row r="116" spans="1:7" ht="20.100000000000001" customHeight="1" x14ac:dyDescent="0.2">
      <c r="A116" s="124" t="s">
        <v>410</v>
      </c>
      <c r="B116" s="125" t="s">
        <v>412</v>
      </c>
      <c r="C116" s="75" t="s">
        <v>411</v>
      </c>
      <c r="D116" s="70">
        <v>3</v>
      </c>
      <c r="E116" s="46"/>
      <c r="F116" s="57"/>
      <c r="G116" s="41"/>
    </row>
    <row r="117" spans="1:7" ht="20.100000000000001" customHeight="1" x14ac:dyDescent="0.2">
      <c r="A117" s="124" t="s">
        <v>413</v>
      </c>
      <c r="B117" s="125" t="s">
        <v>390</v>
      </c>
      <c r="C117" s="75" t="s">
        <v>414</v>
      </c>
      <c r="D117" s="70">
        <v>5</v>
      </c>
      <c r="E117" s="46"/>
      <c r="F117" s="57"/>
      <c r="G117" s="41"/>
    </row>
    <row r="118" spans="1:7" ht="20.100000000000001" customHeight="1" x14ac:dyDescent="0.2">
      <c r="A118" s="124" t="s">
        <v>415</v>
      </c>
      <c r="B118" s="125" t="s">
        <v>416</v>
      </c>
      <c r="C118" s="75" t="s">
        <v>417</v>
      </c>
      <c r="D118" s="70">
        <v>3</v>
      </c>
      <c r="E118" s="46"/>
      <c r="F118" s="57"/>
      <c r="G118" s="41"/>
    </row>
    <row r="119" spans="1:7" ht="20.100000000000001" customHeight="1" x14ac:dyDescent="0.2">
      <c r="A119" s="124" t="s">
        <v>418</v>
      </c>
      <c r="B119" s="125" t="s">
        <v>419</v>
      </c>
      <c r="C119" s="75" t="s">
        <v>420</v>
      </c>
      <c r="D119" s="70">
        <v>2</v>
      </c>
      <c r="E119" s="46"/>
      <c r="F119" s="57"/>
      <c r="G119" s="41"/>
    </row>
    <row r="120" spans="1:7" ht="20.100000000000001" customHeight="1" x14ac:dyDescent="0.2">
      <c r="A120" s="124" t="s">
        <v>421</v>
      </c>
      <c r="B120" s="125" t="s">
        <v>422</v>
      </c>
      <c r="C120" s="75" t="s">
        <v>423</v>
      </c>
      <c r="D120" s="70">
        <v>5</v>
      </c>
      <c r="E120" s="46"/>
      <c r="F120" s="57"/>
      <c r="G120" s="41"/>
    </row>
    <row r="121" spans="1:7" ht="20.100000000000001" customHeight="1" x14ac:dyDescent="0.2">
      <c r="A121" s="124" t="s">
        <v>424</v>
      </c>
      <c r="B121" s="125" t="s">
        <v>425</v>
      </c>
      <c r="C121" s="75" t="s">
        <v>426</v>
      </c>
      <c r="D121" s="70">
        <v>5</v>
      </c>
      <c r="E121" s="46"/>
      <c r="F121" s="57"/>
      <c r="G121" s="41"/>
    </row>
    <row r="122" spans="1:7" ht="20.100000000000001" customHeight="1" x14ac:dyDescent="0.25">
      <c r="A122" s="120"/>
      <c r="B122" s="121"/>
      <c r="C122" s="121"/>
      <c r="D122" s="71">
        <f>SUM(D105:D121)</f>
        <v>63</v>
      </c>
      <c r="E122" s="46"/>
      <c r="F122" s="57"/>
      <c r="G122" s="41"/>
    </row>
    <row r="123" spans="1:7" ht="20.100000000000001" customHeight="1" x14ac:dyDescent="0.25">
      <c r="A123" s="70" t="s">
        <v>421</v>
      </c>
      <c r="B123" s="70" t="s">
        <v>422</v>
      </c>
      <c r="C123" s="75" t="s">
        <v>423</v>
      </c>
      <c r="D123" s="123">
        <v>5</v>
      </c>
      <c r="E123" s="46"/>
      <c r="F123" s="57"/>
      <c r="G123" s="41"/>
    </row>
    <row r="124" spans="1:7" ht="20.100000000000001" customHeight="1" x14ac:dyDescent="0.25">
      <c r="A124" s="70" t="s">
        <v>424</v>
      </c>
      <c r="B124" s="70" t="s">
        <v>425</v>
      </c>
      <c r="C124" s="75" t="s">
        <v>426</v>
      </c>
      <c r="D124" s="123">
        <v>5</v>
      </c>
      <c r="E124" s="46"/>
      <c r="F124" s="57"/>
      <c r="G124" s="41"/>
    </row>
    <row r="125" spans="1:7" ht="20.100000000000001" customHeight="1" x14ac:dyDescent="0.25">
      <c r="A125" s="70"/>
      <c r="B125" s="70"/>
      <c r="C125" s="75"/>
      <c r="D125" s="74">
        <f>SUM(D123:D124)</f>
        <v>10</v>
      </c>
      <c r="E125" s="46"/>
      <c r="F125" s="57"/>
      <c r="G125" s="41"/>
    </row>
    <row r="126" spans="1:7" ht="20.100000000000001" customHeight="1" x14ac:dyDescent="0.25">
      <c r="A126" s="126" t="s">
        <v>427</v>
      </c>
      <c r="B126" s="127">
        <v>210127379</v>
      </c>
      <c r="C126" s="73" t="s">
        <v>428</v>
      </c>
      <c r="D126" s="70">
        <v>4</v>
      </c>
      <c r="E126" s="46"/>
      <c r="F126" s="62" t="s">
        <v>30</v>
      </c>
      <c r="G126" s="60">
        <f>SUM(G24:G125)</f>
        <v>116</v>
      </c>
    </row>
    <row r="127" spans="1:7" ht="20.100000000000001" customHeight="1" x14ac:dyDescent="0.25">
      <c r="A127" s="126" t="s">
        <v>166</v>
      </c>
      <c r="B127" s="127" t="s">
        <v>167</v>
      </c>
      <c r="C127" s="73" t="s">
        <v>429</v>
      </c>
      <c r="D127" s="70">
        <v>2</v>
      </c>
      <c r="E127" s="46"/>
      <c r="F127" s="61" t="s">
        <v>31</v>
      </c>
      <c r="G127" s="60">
        <f>G126*12/100</f>
        <v>13.92</v>
      </c>
    </row>
    <row r="128" spans="1:7" ht="20.100000000000001" customHeight="1" x14ac:dyDescent="0.25">
      <c r="A128" s="126" t="s">
        <v>430</v>
      </c>
      <c r="B128" s="127" t="s">
        <v>169</v>
      </c>
      <c r="C128" s="73" t="s">
        <v>431</v>
      </c>
      <c r="D128" s="70">
        <v>2</v>
      </c>
      <c r="E128" s="46"/>
      <c r="F128" s="61" t="s">
        <v>32</v>
      </c>
      <c r="G128" s="60">
        <f>SUM(G126:G127)</f>
        <v>129.91999999999999</v>
      </c>
    </row>
    <row r="129" spans="1:7" ht="20.100000000000001" customHeight="1" x14ac:dyDescent="0.25">
      <c r="A129" s="126" t="s">
        <v>171</v>
      </c>
      <c r="B129" s="127" t="s">
        <v>172</v>
      </c>
      <c r="C129" s="73" t="s">
        <v>173</v>
      </c>
      <c r="D129" s="70">
        <v>2</v>
      </c>
      <c r="E129" s="46"/>
      <c r="F129" s="47"/>
      <c r="G129" s="58"/>
    </row>
    <row r="130" spans="1:7" ht="20.100000000000001" customHeight="1" x14ac:dyDescent="0.25">
      <c r="A130" s="126" t="s">
        <v>174</v>
      </c>
      <c r="B130" s="127" t="s">
        <v>175</v>
      </c>
      <c r="C130" s="73" t="s">
        <v>432</v>
      </c>
      <c r="D130" s="70">
        <v>2</v>
      </c>
      <c r="E130" s="46"/>
      <c r="F130" s="48"/>
      <c r="G130" s="49"/>
    </row>
    <row r="131" spans="1:7" ht="20.100000000000001" customHeight="1" x14ac:dyDescent="0.25">
      <c r="A131" s="126" t="s">
        <v>177</v>
      </c>
      <c r="B131" s="127" t="s">
        <v>178</v>
      </c>
      <c r="C131" s="73" t="s">
        <v>179</v>
      </c>
      <c r="D131" s="70">
        <v>2</v>
      </c>
      <c r="E131" s="46"/>
      <c r="F131" s="48"/>
      <c r="G131" s="49"/>
    </row>
    <row r="132" spans="1:7" ht="20.100000000000001" customHeight="1" x14ac:dyDescent="0.25">
      <c r="A132" s="80" t="s">
        <v>110</v>
      </c>
      <c r="B132" s="80" t="s">
        <v>111</v>
      </c>
      <c r="C132" s="78" t="s">
        <v>112</v>
      </c>
      <c r="D132" s="79">
        <v>1</v>
      </c>
      <c r="E132" s="46"/>
      <c r="F132" s="48"/>
      <c r="G132" s="48"/>
    </row>
    <row r="133" spans="1:7" ht="20.100000000000001" customHeight="1" x14ac:dyDescent="0.25">
      <c r="A133" s="82" t="s">
        <v>88</v>
      </c>
      <c r="B133" s="83">
        <v>2200040563</v>
      </c>
      <c r="C133" s="84" t="s">
        <v>113</v>
      </c>
      <c r="D133" s="79">
        <v>1</v>
      </c>
      <c r="E133" s="46"/>
      <c r="F133" s="50"/>
      <c r="G133" s="51"/>
    </row>
    <row r="134" spans="1:7" ht="20.100000000000001" customHeight="1" x14ac:dyDescent="0.2">
      <c r="A134" s="82" t="s">
        <v>114</v>
      </c>
      <c r="B134" s="83">
        <v>2100081745</v>
      </c>
      <c r="C134" s="84" t="s">
        <v>115</v>
      </c>
      <c r="D134" s="79">
        <v>1</v>
      </c>
      <c r="E134" s="46"/>
      <c r="F134" s="59"/>
      <c r="G134" s="52"/>
    </row>
    <row r="135" spans="1:7" ht="20.100000000000001" customHeight="1" x14ac:dyDescent="0.25">
      <c r="A135" s="105"/>
      <c r="B135" s="106"/>
      <c r="C135" s="107"/>
      <c r="D135" s="81">
        <f>SUM(D125:D134)</f>
        <v>27</v>
      </c>
      <c r="E135" s="46"/>
      <c r="F135" s="59"/>
      <c r="G135" s="52"/>
    </row>
    <row r="136" spans="1:7" ht="20.100000000000001" customHeight="1" x14ac:dyDescent="0.2">
      <c r="A136" s="85" t="s">
        <v>116</v>
      </c>
      <c r="B136" s="80">
        <v>2100022417</v>
      </c>
      <c r="C136" s="78" t="s">
        <v>117</v>
      </c>
      <c r="D136" s="79">
        <v>2</v>
      </c>
      <c r="E136" s="46"/>
      <c r="F136" s="59"/>
      <c r="G136" s="52"/>
    </row>
    <row r="137" spans="1:7" ht="20.100000000000001" customHeight="1" x14ac:dyDescent="0.2">
      <c r="A137" s="85" t="s">
        <v>118</v>
      </c>
      <c r="B137" s="80">
        <v>2100038727</v>
      </c>
      <c r="C137" s="78" t="s">
        <v>119</v>
      </c>
      <c r="D137" s="79">
        <v>10</v>
      </c>
      <c r="E137" s="46"/>
      <c r="F137" s="59"/>
      <c r="G137" s="52"/>
    </row>
    <row r="138" spans="1:7" ht="20.100000000000001" customHeight="1" x14ac:dyDescent="0.2">
      <c r="A138" s="85" t="s">
        <v>120</v>
      </c>
      <c r="B138" s="80">
        <v>2100038807</v>
      </c>
      <c r="C138" s="78" t="s">
        <v>121</v>
      </c>
      <c r="D138" s="79">
        <v>10</v>
      </c>
      <c r="E138" s="46"/>
      <c r="F138" s="59"/>
      <c r="G138" s="52"/>
    </row>
    <row r="139" spans="1:7" ht="20.100000000000001" customHeight="1" x14ac:dyDescent="0.2">
      <c r="A139" s="85" t="s">
        <v>122</v>
      </c>
      <c r="B139" s="80">
        <v>200316799</v>
      </c>
      <c r="C139" s="78" t="s">
        <v>123</v>
      </c>
      <c r="D139" s="79">
        <v>10</v>
      </c>
      <c r="E139" s="46"/>
      <c r="F139" s="59"/>
      <c r="G139" s="52"/>
    </row>
    <row r="140" spans="1:7" ht="20.100000000000001" customHeight="1" x14ac:dyDescent="0.2">
      <c r="A140" s="85" t="s">
        <v>124</v>
      </c>
      <c r="B140" s="80">
        <v>200316800</v>
      </c>
      <c r="C140" s="78" t="s">
        <v>125</v>
      </c>
      <c r="D140" s="79">
        <v>10</v>
      </c>
      <c r="E140" s="46"/>
      <c r="F140" s="59"/>
      <c r="G140" s="52"/>
    </row>
    <row r="141" spans="1:7" ht="20.100000000000001" customHeight="1" x14ac:dyDescent="0.2">
      <c r="A141" s="85" t="s">
        <v>126</v>
      </c>
      <c r="B141" s="80">
        <v>2200067735</v>
      </c>
      <c r="C141" s="78" t="s">
        <v>127</v>
      </c>
      <c r="D141" s="79">
        <v>10</v>
      </c>
      <c r="E141" s="46"/>
      <c r="F141" s="59"/>
      <c r="G141" s="52"/>
    </row>
    <row r="142" spans="1:7" ht="20.100000000000001" customHeight="1" x14ac:dyDescent="0.2">
      <c r="A142" s="85" t="s">
        <v>128</v>
      </c>
      <c r="B142" s="80">
        <v>200316801</v>
      </c>
      <c r="C142" s="78" t="s">
        <v>129</v>
      </c>
      <c r="D142" s="79">
        <v>9</v>
      </c>
      <c r="E142" s="46"/>
      <c r="F142" s="59"/>
      <c r="G142" s="52"/>
    </row>
    <row r="143" spans="1:7" ht="20.100000000000001" customHeight="1" x14ac:dyDescent="0.2">
      <c r="A143" s="85" t="s">
        <v>128</v>
      </c>
      <c r="B143" s="80">
        <v>201023240</v>
      </c>
      <c r="C143" s="78" t="s">
        <v>129</v>
      </c>
      <c r="D143" s="79">
        <v>1</v>
      </c>
      <c r="E143" s="46"/>
      <c r="F143" s="59"/>
      <c r="G143" s="52"/>
    </row>
    <row r="144" spans="1:7" ht="20.100000000000001" customHeight="1" x14ac:dyDescent="0.2">
      <c r="A144" s="85" t="s">
        <v>130</v>
      </c>
      <c r="B144" s="80">
        <v>220344114</v>
      </c>
      <c r="C144" s="78" t="s">
        <v>131</v>
      </c>
      <c r="D144" s="79">
        <v>10</v>
      </c>
      <c r="E144" s="46"/>
      <c r="F144" s="59"/>
      <c r="G144" s="52"/>
    </row>
    <row r="145" spans="1:7" ht="20.100000000000001" customHeight="1" x14ac:dyDescent="0.2">
      <c r="A145" s="85" t="s">
        <v>132</v>
      </c>
      <c r="B145" s="80">
        <v>2200100917</v>
      </c>
      <c r="C145" s="78" t="s">
        <v>133</v>
      </c>
      <c r="D145" s="79">
        <v>10</v>
      </c>
      <c r="E145" s="46"/>
      <c r="F145" s="59"/>
      <c r="G145" s="52"/>
    </row>
    <row r="146" spans="1:7" ht="20.100000000000001" customHeight="1" x14ac:dyDescent="0.25">
      <c r="A146" s="85" t="s">
        <v>134</v>
      </c>
      <c r="B146" s="80">
        <v>200316805</v>
      </c>
      <c r="C146" s="78" t="s">
        <v>135</v>
      </c>
      <c r="D146" s="79">
        <v>7</v>
      </c>
      <c r="E146" s="46"/>
      <c r="F146" s="59"/>
      <c r="G146" s="51"/>
    </row>
    <row r="147" spans="1:7" ht="20.100000000000001" customHeight="1" x14ac:dyDescent="0.25">
      <c r="A147" s="85" t="s">
        <v>134</v>
      </c>
      <c r="B147" s="80">
        <v>2200054327</v>
      </c>
      <c r="C147" s="78" t="s">
        <v>135</v>
      </c>
      <c r="D147" s="79">
        <v>3</v>
      </c>
      <c r="E147" s="46"/>
      <c r="F147" s="59"/>
      <c r="G147" s="51"/>
    </row>
    <row r="148" spans="1:7" ht="20.100000000000001" customHeight="1" x14ac:dyDescent="0.25">
      <c r="A148" s="85" t="s">
        <v>136</v>
      </c>
      <c r="B148" s="80">
        <v>220316806</v>
      </c>
      <c r="C148" s="78" t="s">
        <v>137</v>
      </c>
      <c r="D148" s="79">
        <v>10</v>
      </c>
      <c r="E148" s="46"/>
      <c r="F148" s="48"/>
      <c r="G148" s="51"/>
    </row>
    <row r="149" spans="1:7" ht="20.100000000000001" customHeight="1" x14ac:dyDescent="0.2">
      <c r="A149" s="85" t="s">
        <v>138</v>
      </c>
      <c r="B149" s="80">
        <v>220316806</v>
      </c>
      <c r="C149" s="78" t="s">
        <v>139</v>
      </c>
      <c r="D149" s="79">
        <v>4</v>
      </c>
      <c r="E149" s="46"/>
      <c r="F149" s="59"/>
      <c r="G149" s="52"/>
    </row>
    <row r="150" spans="1:7" ht="20.100000000000001" customHeight="1" x14ac:dyDescent="0.25">
      <c r="A150" s="108"/>
      <c r="B150" s="109"/>
      <c r="C150" s="110"/>
      <c r="D150" s="81">
        <f>SUM(D136:D149)</f>
        <v>106</v>
      </c>
      <c r="E150" s="46"/>
      <c r="F150" s="59"/>
      <c r="G150" s="52"/>
    </row>
    <row r="151" spans="1:7" ht="20.100000000000001" customHeight="1" x14ac:dyDescent="0.2">
      <c r="A151" s="80" t="s">
        <v>140</v>
      </c>
      <c r="B151" s="80">
        <v>2100022697</v>
      </c>
      <c r="C151" s="78" t="s">
        <v>141</v>
      </c>
      <c r="D151" s="79">
        <v>3</v>
      </c>
      <c r="E151" s="46"/>
      <c r="F151" s="59"/>
      <c r="G151" s="52"/>
    </row>
    <row r="152" spans="1:7" ht="20.100000000000001" customHeight="1" x14ac:dyDescent="0.2">
      <c r="A152" s="80" t="s">
        <v>142</v>
      </c>
      <c r="B152" s="80">
        <v>2100022698</v>
      </c>
      <c r="C152" s="78" t="s">
        <v>143</v>
      </c>
      <c r="D152" s="79">
        <v>2</v>
      </c>
      <c r="E152" s="46"/>
      <c r="F152" s="59"/>
      <c r="G152" s="52"/>
    </row>
    <row r="153" spans="1:7" ht="20.100000000000001" customHeight="1" x14ac:dyDescent="0.2">
      <c r="A153" s="80" t="s">
        <v>144</v>
      </c>
      <c r="B153" s="80">
        <v>2100028611</v>
      </c>
      <c r="C153" s="78" t="s">
        <v>145</v>
      </c>
      <c r="D153" s="79">
        <v>2</v>
      </c>
      <c r="E153" s="46"/>
      <c r="F153" s="59"/>
      <c r="G153" s="52"/>
    </row>
    <row r="154" spans="1:7" ht="20.100000000000001" customHeight="1" x14ac:dyDescent="0.2">
      <c r="A154" s="80" t="s">
        <v>146</v>
      </c>
      <c r="B154" s="80" t="s">
        <v>147</v>
      </c>
      <c r="C154" s="78" t="s">
        <v>148</v>
      </c>
      <c r="D154" s="79">
        <v>2</v>
      </c>
      <c r="E154" s="46"/>
      <c r="F154" s="59"/>
      <c r="G154" s="52"/>
    </row>
    <row r="155" spans="1:7" ht="20.100000000000001" customHeight="1" x14ac:dyDescent="0.2">
      <c r="A155" s="80" t="s">
        <v>149</v>
      </c>
      <c r="B155" s="80">
        <v>2100010645</v>
      </c>
      <c r="C155" s="78" t="s">
        <v>150</v>
      </c>
      <c r="D155" s="79">
        <v>2</v>
      </c>
      <c r="E155" s="46"/>
      <c r="F155" s="59"/>
      <c r="G155" s="52"/>
    </row>
    <row r="156" spans="1:7" ht="20.100000000000001" customHeight="1" x14ac:dyDescent="0.2">
      <c r="A156" s="80" t="s">
        <v>151</v>
      </c>
      <c r="B156" s="80">
        <v>2100007516</v>
      </c>
      <c r="C156" s="78" t="s">
        <v>152</v>
      </c>
      <c r="D156" s="79">
        <v>2</v>
      </c>
      <c r="E156" s="46"/>
      <c r="F156" s="59"/>
      <c r="G156" s="52"/>
    </row>
    <row r="157" spans="1:7" ht="20.100000000000001" customHeight="1" x14ac:dyDescent="0.2">
      <c r="A157" s="80" t="s">
        <v>153</v>
      </c>
      <c r="B157" s="80" t="s">
        <v>154</v>
      </c>
      <c r="C157" s="78" t="s">
        <v>155</v>
      </c>
      <c r="D157" s="79">
        <v>2</v>
      </c>
      <c r="E157" s="46"/>
      <c r="F157" s="59"/>
      <c r="G157" s="52"/>
    </row>
    <row r="158" spans="1:7" ht="20.100000000000001" customHeight="1" x14ac:dyDescent="0.2">
      <c r="A158" s="80" t="s">
        <v>156</v>
      </c>
      <c r="B158" s="80" t="s">
        <v>157</v>
      </c>
      <c r="C158" s="78" t="s">
        <v>158</v>
      </c>
      <c r="D158" s="79">
        <v>2</v>
      </c>
      <c r="E158" s="46"/>
      <c r="F158" s="59"/>
      <c r="G158" s="52"/>
    </row>
    <row r="159" spans="1:7" ht="20.100000000000001" customHeight="1" x14ac:dyDescent="0.2">
      <c r="A159" s="80" t="s">
        <v>159</v>
      </c>
      <c r="B159" s="80">
        <v>2100023365</v>
      </c>
      <c r="C159" s="78" t="s">
        <v>160</v>
      </c>
      <c r="D159" s="79">
        <v>2</v>
      </c>
      <c r="E159" s="46"/>
      <c r="F159" s="59"/>
      <c r="G159" s="52"/>
    </row>
    <row r="160" spans="1:7" ht="20.100000000000001" customHeight="1" x14ac:dyDescent="0.2">
      <c r="A160" s="82" t="s">
        <v>161</v>
      </c>
      <c r="B160" s="83">
        <v>2100007744</v>
      </c>
      <c r="C160" s="84" t="s">
        <v>162</v>
      </c>
      <c r="D160" s="79">
        <v>2</v>
      </c>
      <c r="E160" s="46"/>
      <c r="F160" s="59"/>
      <c r="G160" s="52"/>
    </row>
    <row r="161" spans="1:7" ht="20.100000000000001" customHeight="1" x14ac:dyDescent="0.2">
      <c r="A161" s="82" t="s">
        <v>163</v>
      </c>
      <c r="B161" s="83">
        <v>2100010389</v>
      </c>
      <c r="C161" s="84" t="s">
        <v>164</v>
      </c>
      <c r="D161" s="79">
        <v>2</v>
      </c>
      <c r="E161" s="46"/>
      <c r="F161" s="59"/>
      <c r="G161" s="52"/>
    </row>
    <row r="162" spans="1:7" ht="20.100000000000001" customHeight="1" x14ac:dyDescent="0.25">
      <c r="A162" s="105"/>
      <c r="B162" s="106"/>
      <c r="C162" s="107"/>
      <c r="D162" s="81">
        <f>SUM(D151:D161)</f>
        <v>23</v>
      </c>
      <c r="E162" s="46"/>
      <c r="F162" s="59"/>
      <c r="G162" s="52"/>
    </row>
    <row r="163" spans="1:7" ht="20.100000000000001" customHeight="1" x14ac:dyDescent="0.2">
      <c r="A163" s="86">
        <v>185764</v>
      </c>
      <c r="B163" s="73">
        <v>210127379</v>
      </c>
      <c r="C163" s="73" t="s">
        <v>165</v>
      </c>
      <c r="D163" s="70">
        <v>5</v>
      </c>
      <c r="E163" s="46"/>
      <c r="F163" s="59"/>
      <c r="G163" s="52"/>
    </row>
    <row r="164" spans="1:7" ht="20.100000000000001" customHeight="1" x14ac:dyDescent="0.2">
      <c r="A164" s="73" t="s">
        <v>166</v>
      </c>
      <c r="B164" s="73" t="s">
        <v>167</v>
      </c>
      <c r="C164" s="73" t="s">
        <v>168</v>
      </c>
      <c r="D164" s="70">
        <v>4</v>
      </c>
      <c r="E164" s="46"/>
      <c r="F164" s="53"/>
      <c r="G164" s="54"/>
    </row>
    <row r="165" spans="1:7" ht="20.100000000000001" customHeight="1" x14ac:dyDescent="0.25">
      <c r="A165" s="86">
        <v>185768</v>
      </c>
      <c r="B165" s="73" t="s">
        <v>169</v>
      </c>
      <c r="C165" s="73" t="s">
        <v>170</v>
      </c>
      <c r="D165" s="70">
        <v>0</v>
      </c>
      <c r="E165" s="46"/>
      <c r="F165" s="55"/>
      <c r="G165" s="56"/>
    </row>
    <row r="166" spans="1:7" ht="20.100000000000001" customHeight="1" x14ac:dyDescent="0.25">
      <c r="A166" s="86" t="s">
        <v>171</v>
      </c>
      <c r="B166" s="73" t="s">
        <v>172</v>
      </c>
      <c r="C166" s="73" t="s">
        <v>173</v>
      </c>
      <c r="D166" s="70">
        <v>5</v>
      </c>
      <c r="E166" s="46"/>
      <c r="F166" s="55"/>
      <c r="G166" s="56"/>
    </row>
    <row r="167" spans="1:7" ht="20.100000000000001" customHeight="1" x14ac:dyDescent="0.25">
      <c r="A167" s="86" t="s">
        <v>174</v>
      </c>
      <c r="B167" s="73" t="s">
        <v>175</v>
      </c>
      <c r="C167" s="73" t="s">
        <v>176</v>
      </c>
      <c r="D167" s="70">
        <v>5</v>
      </c>
      <c r="E167" s="46"/>
      <c r="F167" s="55"/>
      <c r="G167" s="56"/>
    </row>
    <row r="168" spans="1:7" ht="20.100000000000001" customHeight="1" x14ac:dyDescent="0.25">
      <c r="A168" s="86" t="s">
        <v>177</v>
      </c>
      <c r="B168" s="73" t="s">
        <v>178</v>
      </c>
      <c r="C168" s="73" t="s">
        <v>179</v>
      </c>
      <c r="D168" s="70">
        <v>5</v>
      </c>
      <c r="E168" s="46"/>
      <c r="F168" s="56"/>
      <c r="G168" s="56"/>
    </row>
    <row r="169" spans="1:7" ht="20.100000000000001" customHeight="1" x14ac:dyDescent="0.25">
      <c r="A169" s="111"/>
      <c r="B169" s="112"/>
      <c r="C169" s="113"/>
      <c r="D169" s="71">
        <f>SUM(D163:D168)</f>
        <v>24</v>
      </c>
      <c r="E169" s="46"/>
      <c r="F169" s="56"/>
      <c r="G169" s="56"/>
    </row>
    <row r="170" spans="1:7" ht="20.100000000000001" customHeight="1" x14ac:dyDescent="0.25">
      <c r="A170" s="124" t="s">
        <v>480</v>
      </c>
      <c r="B170" s="125">
        <v>190703667</v>
      </c>
      <c r="C170" s="121" t="s">
        <v>481</v>
      </c>
      <c r="D170" s="70">
        <v>4</v>
      </c>
      <c r="E170" s="121"/>
      <c r="F170" s="159"/>
      <c r="G170" s="56"/>
    </row>
    <row r="171" spans="1:7" ht="20.100000000000001" customHeight="1" x14ac:dyDescent="0.25">
      <c r="A171" s="124" t="s">
        <v>482</v>
      </c>
      <c r="B171" s="125">
        <v>190704169</v>
      </c>
      <c r="C171" s="121" t="s">
        <v>483</v>
      </c>
      <c r="D171" s="70">
        <v>3</v>
      </c>
      <c r="E171" s="121"/>
      <c r="F171" s="159"/>
      <c r="G171" s="56"/>
    </row>
    <row r="172" spans="1:7" ht="20.100000000000001" customHeight="1" x14ac:dyDescent="0.25">
      <c r="A172" s="124" t="s">
        <v>484</v>
      </c>
      <c r="B172" s="125">
        <v>190703666</v>
      </c>
      <c r="C172" s="121" t="s">
        <v>485</v>
      </c>
      <c r="D172" s="70">
        <v>1</v>
      </c>
      <c r="E172" s="121"/>
      <c r="F172" s="159"/>
      <c r="G172" s="56"/>
    </row>
    <row r="173" spans="1:7" ht="20.100000000000001" customHeight="1" x14ac:dyDescent="0.25">
      <c r="A173" s="124" t="s">
        <v>486</v>
      </c>
      <c r="B173" s="125">
        <v>190703665</v>
      </c>
      <c r="C173" s="121" t="s">
        <v>487</v>
      </c>
      <c r="D173" s="70">
        <v>1</v>
      </c>
      <c r="E173" s="121"/>
      <c r="F173" s="159"/>
      <c r="G173" s="56"/>
    </row>
    <row r="174" spans="1:7" ht="20.100000000000001" customHeight="1" x14ac:dyDescent="0.25">
      <c r="A174" s="124" t="s">
        <v>488</v>
      </c>
      <c r="B174" s="125">
        <v>190703664</v>
      </c>
      <c r="C174" s="121" t="s">
        <v>489</v>
      </c>
      <c r="D174" s="70">
        <v>2</v>
      </c>
      <c r="E174" s="121"/>
      <c r="F174" s="159"/>
      <c r="G174" s="56"/>
    </row>
    <row r="175" spans="1:7" ht="20.100000000000001" customHeight="1" x14ac:dyDescent="0.25">
      <c r="A175" s="124" t="s">
        <v>490</v>
      </c>
      <c r="B175" s="125">
        <v>190703664</v>
      </c>
      <c r="C175" s="121" t="s">
        <v>491</v>
      </c>
      <c r="D175" s="70">
        <v>3</v>
      </c>
      <c r="E175" s="121"/>
      <c r="F175" s="159"/>
      <c r="G175" s="56"/>
    </row>
    <row r="176" spans="1:7" ht="20.100000000000001" customHeight="1" x14ac:dyDescent="0.25">
      <c r="A176" s="124" t="s">
        <v>492</v>
      </c>
      <c r="B176" s="125">
        <v>190703662</v>
      </c>
      <c r="C176" s="121" t="s">
        <v>493</v>
      </c>
      <c r="D176" s="70">
        <v>1</v>
      </c>
      <c r="E176" s="121"/>
      <c r="F176" s="159"/>
      <c r="G176" s="56"/>
    </row>
    <row r="177" spans="1:7" ht="20.100000000000001" customHeight="1" x14ac:dyDescent="0.25">
      <c r="A177" s="124" t="s">
        <v>494</v>
      </c>
      <c r="B177" s="125">
        <v>190703661</v>
      </c>
      <c r="C177" s="121" t="s">
        <v>495</v>
      </c>
      <c r="D177" s="70">
        <v>0</v>
      </c>
      <c r="E177" s="124"/>
      <c r="F177" s="159"/>
      <c r="G177" s="56"/>
    </row>
    <row r="178" spans="1:7" ht="20.100000000000001" customHeight="1" x14ac:dyDescent="0.25">
      <c r="A178" s="124" t="s">
        <v>496</v>
      </c>
      <c r="B178" s="125">
        <v>190703660</v>
      </c>
      <c r="C178" s="121" t="s">
        <v>497</v>
      </c>
      <c r="D178" s="70">
        <v>1</v>
      </c>
      <c r="E178" s="124"/>
      <c r="F178" s="159"/>
      <c r="G178" s="56"/>
    </row>
    <row r="179" spans="1:7" ht="20.100000000000001" customHeight="1" x14ac:dyDescent="0.25">
      <c r="A179" s="124" t="s">
        <v>498</v>
      </c>
      <c r="B179" s="125">
        <v>190703659</v>
      </c>
      <c r="C179" s="121" t="s">
        <v>499</v>
      </c>
      <c r="D179" s="70">
        <v>1</v>
      </c>
      <c r="E179" s="124"/>
      <c r="F179" s="159"/>
      <c r="G179" s="56"/>
    </row>
    <row r="180" spans="1:7" ht="20.100000000000001" customHeight="1" x14ac:dyDescent="0.25">
      <c r="A180" s="124" t="s">
        <v>500</v>
      </c>
      <c r="B180" s="125">
        <v>190703658</v>
      </c>
      <c r="C180" s="121" t="s">
        <v>501</v>
      </c>
      <c r="D180" s="70">
        <v>3</v>
      </c>
      <c r="E180" s="124"/>
      <c r="F180" s="159"/>
      <c r="G180" s="56"/>
    </row>
    <row r="181" spans="1:7" ht="20.100000000000001" customHeight="1" x14ac:dyDescent="0.25">
      <c r="A181" s="124" t="s">
        <v>502</v>
      </c>
      <c r="B181" s="125">
        <v>190703657</v>
      </c>
      <c r="C181" s="121" t="s">
        <v>503</v>
      </c>
      <c r="D181" s="70">
        <v>1</v>
      </c>
      <c r="E181" s="124"/>
      <c r="F181" s="159"/>
      <c r="G181" s="56"/>
    </row>
    <row r="182" spans="1:7" ht="20.100000000000001" customHeight="1" x14ac:dyDescent="0.25">
      <c r="A182" s="124" t="s">
        <v>504</v>
      </c>
      <c r="B182" s="125">
        <v>190703656</v>
      </c>
      <c r="C182" s="121" t="s">
        <v>505</v>
      </c>
      <c r="D182" s="70">
        <v>1</v>
      </c>
      <c r="E182" s="124"/>
      <c r="F182" s="159"/>
      <c r="G182" s="56"/>
    </row>
    <row r="183" spans="1:7" ht="20.100000000000001" customHeight="1" x14ac:dyDescent="0.25">
      <c r="A183" s="124" t="s">
        <v>506</v>
      </c>
      <c r="B183" s="125">
        <v>2100063501</v>
      </c>
      <c r="C183" s="121" t="s">
        <v>507</v>
      </c>
      <c r="D183" s="70">
        <v>2</v>
      </c>
      <c r="E183" s="124"/>
      <c r="F183" s="159"/>
      <c r="G183" s="56"/>
    </row>
    <row r="184" spans="1:7" ht="20.100000000000001" customHeight="1" x14ac:dyDescent="0.25">
      <c r="A184" s="124" t="s">
        <v>508</v>
      </c>
      <c r="B184" s="125">
        <v>190703654</v>
      </c>
      <c r="C184" s="121" t="s">
        <v>509</v>
      </c>
      <c r="D184" s="70">
        <v>2</v>
      </c>
      <c r="E184" s="124"/>
      <c r="F184" s="159"/>
      <c r="G184" s="56"/>
    </row>
    <row r="185" spans="1:7" ht="20.100000000000001" customHeight="1" x14ac:dyDescent="0.25">
      <c r="A185" s="124"/>
      <c r="B185" s="125"/>
      <c r="C185" s="121"/>
      <c r="D185" s="71">
        <f>SUM(D170:D184)</f>
        <v>26</v>
      </c>
      <c r="E185" s="121"/>
      <c r="F185" s="159"/>
      <c r="G185" s="56"/>
    </row>
    <row r="186" spans="1:7" ht="20.100000000000001" customHeight="1" x14ac:dyDescent="0.25">
      <c r="A186" s="124" t="s">
        <v>510</v>
      </c>
      <c r="B186" s="125">
        <v>2100059085</v>
      </c>
      <c r="C186" s="121" t="s">
        <v>511</v>
      </c>
      <c r="D186" s="70">
        <v>6</v>
      </c>
      <c r="E186" s="121"/>
      <c r="F186" s="159"/>
      <c r="G186" s="56"/>
    </row>
    <row r="187" spans="1:7" ht="20.100000000000001" customHeight="1" x14ac:dyDescent="0.25">
      <c r="A187" s="124" t="s">
        <v>512</v>
      </c>
      <c r="B187" s="125">
        <v>2100059085</v>
      </c>
      <c r="C187" s="121" t="s">
        <v>513</v>
      </c>
      <c r="D187" s="70">
        <v>6</v>
      </c>
      <c r="E187" s="121"/>
      <c r="F187" s="159"/>
      <c r="G187" s="56"/>
    </row>
    <row r="188" spans="1:7" ht="20.100000000000001" customHeight="1" x14ac:dyDescent="0.25">
      <c r="A188" s="124" t="s">
        <v>514</v>
      </c>
      <c r="B188" s="125">
        <v>2100059085</v>
      </c>
      <c r="C188" s="121" t="s">
        <v>515</v>
      </c>
      <c r="D188" s="70">
        <v>5</v>
      </c>
      <c r="E188" s="121"/>
      <c r="F188" s="159"/>
      <c r="G188" s="56"/>
    </row>
    <row r="189" spans="1:7" ht="20.100000000000001" customHeight="1" x14ac:dyDescent="0.25">
      <c r="A189" s="124" t="s">
        <v>516</v>
      </c>
      <c r="B189" s="125">
        <v>2100059085</v>
      </c>
      <c r="C189" s="121" t="s">
        <v>517</v>
      </c>
      <c r="D189" s="70">
        <v>6</v>
      </c>
      <c r="E189" s="121"/>
      <c r="F189" s="159"/>
      <c r="G189" s="56"/>
    </row>
    <row r="190" spans="1:7" ht="20.100000000000001" customHeight="1" x14ac:dyDescent="0.25">
      <c r="A190" s="124" t="s">
        <v>518</v>
      </c>
      <c r="B190" s="125">
        <v>2100059085</v>
      </c>
      <c r="C190" s="121" t="s">
        <v>519</v>
      </c>
      <c r="D190" s="70">
        <v>5</v>
      </c>
      <c r="E190" s="121"/>
      <c r="F190" s="159"/>
      <c r="G190" s="56"/>
    </row>
    <row r="191" spans="1:7" ht="20.100000000000001" customHeight="1" x14ac:dyDescent="0.25">
      <c r="A191" s="124" t="s">
        <v>520</v>
      </c>
      <c r="B191" s="125">
        <v>2100059085</v>
      </c>
      <c r="C191" s="121" t="s">
        <v>521</v>
      </c>
      <c r="D191" s="70">
        <v>2</v>
      </c>
      <c r="E191" s="121"/>
      <c r="F191" s="159"/>
      <c r="G191" s="56"/>
    </row>
    <row r="192" spans="1:7" ht="20.100000000000001" customHeight="1" x14ac:dyDescent="0.25">
      <c r="A192" s="124" t="s">
        <v>522</v>
      </c>
      <c r="B192" s="125">
        <v>2100059085</v>
      </c>
      <c r="C192" s="121" t="s">
        <v>523</v>
      </c>
      <c r="D192" s="70">
        <v>6</v>
      </c>
      <c r="E192" s="121"/>
      <c r="F192" s="159"/>
      <c r="G192" s="56"/>
    </row>
    <row r="193" spans="1:7" ht="20.100000000000001" customHeight="1" x14ac:dyDescent="0.25">
      <c r="A193" s="124" t="s">
        <v>524</v>
      </c>
      <c r="B193" s="125">
        <v>2100091181</v>
      </c>
      <c r="C193" s="121" t="s">
        <v>525</v>
      </c>
      <c r="D193" s="70">
        <v>6</v>
      </c>
      <c r="E193" s="121"/>
      <c r="F193" s="159"/>
      <c r="G193" s="56"/>
    </row>
    <row r="194" spans="1:7" ht="20.100000000000001" customHeight="1" x14ac:dyDescent="0.25">
      <c r="A194" s="124" t="s">
        <v>526</v>
      </c>
      <c r="B194" s="125">
        <v>2100091181</v>
      </c>
      <c r="C194" s="121" t="s">
        <v>527</v>
      </c>
      <c r="D194" s="70">
        <v>6</v>
      </c>
      <c r="E194" s="121"/>
      <c r="F194" s="159"/>
      <c r="G194" s="56"/>
    </row>
    <row r="195" spans="1:7" ht="20.100000000000001" customHeight="1" x14ac:dyDescent="0.25">
      <c r="A195" s="124" t="s">
        <v>528</v>
      </c>
      <c r="B195" s="125">
        <v>2100058379</v>
      </c>
      <c r="C195" s="121" t="s">
        <v>529</v>
      </c>
      <c r="D195" s="70">
        <v>6</v>
      </c>
      <c r="E195" s="121"/>
      <c r="F195" s="159"/>
      <c r="G195" s="56"/>
    </row>
    <row r="196" spans="1:7" ht="20.100000000000001" customHeight="1" x14ac:dyDescent="0.25">
      <c r="A196" s="124" t="s">
        <v>530</v>
      </c>
      <c r="B196" s="125">
        <v>2100065596</v>
      </c>
      <c r="C196" s="121" t="s">
        <v>531</v>
      </c>
      <c r="D196" s="70">
        <v>2</v>
      </c>
      <c r="E196" s="121"/>
      <c r="F196" s="159"/>
      <c r="G196" s="56"/>
    </row>
    <row r="197" spans="1:7" ht="20.100000000000001" customHeight="1" x14ac:dyDescent="0.25">
      <c r="A197" s="124" t="s">
        <v>532</v>
      </c>
      <c r="B197" s="125">
        <v>2100043580</v>
      </c>
      <c r="C197" s="121" t="s">
        <v>533</v>
      </c>
      <c r="D197" s="70">
        <v>4</v>
      </c>
      <c r="E197" s="121"/>
      <c r="F197" s="159"/>
      <c r="G197" s="56"/>
    </row>
    <row r="198" spans="1:7" ht="20.100000000000001" customHeight="1" x14ac:dyDescent="0.25">
      <c r="A198" s="124" t="s">
        <v>534</v>
      </c>
      <c r="B198" s="125">
        <v>2100064830</v>
      </c>
      <c r="C198" s="121" t="s">
        <v>535</v>
      </c>
      <c r="D198" s="70">
        <v>4</v>
      </c>
      <c r="E198" s="121"/>
      <c r="F198" s="159"/>
      <c r="G198" s="56"/>
    </row>
    <row r="199" spans="1:7" ht="20.100000000000001" customHeight="1" x14ac:dyDescent="0.25">
      <c r="A199" s="124" t="s">
        <v>536</v>
      </c>
      <c r="B199" s="125">
        <v>2100099053</v>
      </c>
      <c r="C199" s="121" t="s">
        <v>537</v>
      </c>
      <c r="D199" s="70">
        <v>4</v>
      </c>
      <c r="E199" s="121"/>
      <c r="F199" s="159"/>
      <c r="G199" s="56"/>
    </row>
    <row r="200" spans="1:7" ht="20.100000000000001" customHeight="1" x14ac:dyDescent="0.25">
      <c r="A200" s="124" t="s">
        <v>538</v>
      </c>
      <c r="B200" s="125">
        <v>2100099053</v>
      </c>
      <c r="C200" s="121" t="s">
        <v>539</v>
      </c>
      <c r="D200" s="70">
        <v>3</v>
      </c>
      <c r="E200" s="121"/>
      <c r="F200" s="159"/>
      <c r="G200" s="56"/>
    </row>
    <row r="201" spans="1:7" ht="20.100000000000001" customHeight="1" x14ac:dyDescent="0.25">
      <c r="A201" s="124" t="s">
        <v>540</v>
      </c>
      <c r="B201" s="125">
        <v>2100099053</v>
      </c>
      <c r="C201" s="121" t="s">
        <v>541</v>
      </c>
      <c r="D201" s="70">
        <v>1</v>
      </c>
      <c r="E201" s="121"/>
      <c r="F201" s="159"/>
      <c r="G201" s="56"/>
    </row>
    <row r="202" spans="1:7" ht="20.100000000000001" customHeight="1" x14ac:dyDescent="0.25">
      <c r="A202" s="124"/>
      <c r="B202" s="125"/>
      <c r="C202" s="121"/>
      <c r="D202" s="71">
        <f>SUM(D186:D201)</f>
        <v>72</v>
      </c>
      <c r="E202" s="121"/>
      <c r="F202" s="159"/>
      <c r="G202" s="56"/>
    </row>
    <row r="203" spans="1:7" ht="20.100000000000001" customHeight="1" x14ac:dyDescent="0.25">
      <c r="A203" s="124" t="s">
        <v>542</v>
      </c>
      <c r="B203" s="125" t="s">
        <v>543</v>
      </c>
      <c r="C203" s="121" t="s">
        <v>544</v>
      </c>
      <c r="D203" s="70">
        <v>6</v>
      </c>
      <c r="E203" s="121"/>
      <c r="F203" s="159"/>
      <c r="G203" s="56"/>
    </row>
    <row r="204" spans="1:7" ht="20.100000000000001" customHeight="1" x14ac:dyDescent="0.25">
      <c r="A204" s="124" t="s">
        <v>545</v>
      </c>
      <c r="B204" s="125" t="s">
        <v>546</v>
      </c>
      <c r="C204" s="121" t="s">
        <v>547</v>
      </c>
      <c r="D204" s="70">
        <v>6</v>
      </c>
      <c r="E204" s="121"/>
      <c r="F204" s="159"/>
      <c r="G204" s="56"/>
    </row>
    <row r="205" spans="1:7" ht="20.100000000000001" customHeight="1" x14ac:dyDescent="0.25">
      <c r="A205" s="124" t="s">
        <v>548</v>
      </c>
      <c r="B205" s="125" t="s">
        <v>549</v>
      </c>
      <c r="C205" s="121" t="s">
        <v>550</v>
      </c>
      <c r="D205" s="70">
        <v>5</v>
      </c>
      <c r="E205" s="121"/>
      <c r="F205" s="159"/>
      <c r="G205" s="56"/>
    </row>
    <row r="206" spans="1:7" ht="20.100000000000001" customHeight="1" x14ac:dyDescent="0.25">
      <c r="A206" s="124" t="s">
        <v>551</v>
      </c>
      <c r="B206" s="125" t="s">
        <v>552</v>
      </c>
      <c r="C206" s="121" t="s">
        <v>553</v>
      </c>
      <c r="D206" s="70">
        <v>0</v>
      </c>
      <c r="E206" s="121"/>
      <c r="F206" s="159"/>
      <c r="G206" s="56"/>
    </row>
    <row r="207" spans="1:7" ht="20.100000000000001" customHeight="1" x14ac:dyDescent="0.25">
      <c r="A207" s="124" t="s">
        <v>554</v>
      </c>
      <c r="B207" s="125" t="s">
        <v>555</v>
      </c>
      <c r="C207" s="121" t="s">
        <v>556</v>
      </c>
      <c r="D207" s="70">
        <v>3</v>
      </c>
      <c r="E207" s="121"/>
      <c r="F207" s="159"/>
      <c r="G207" s="56"/>
    </row>
    <row r="208" spans="1:7" ht="20.100000000000001" customHeight="1" x14ac:dyDescent="0.25">
      <c r="A208" s="124" t="s">
        <v>557</v>
      </c>
      <c r="B208" s="125" t="s">
        <v>558</v>
      </c>
      <c r="C208" s="121" t="s">
        <v>559</v>
      </c>
      <c r="D208" s="70">
        <v>4</v>
      </c>
      <c r="E208" s="121"/>
      <c r="F208" s="159"/>
      <c r="G208" s="56"/>
    </row>
    <row r="209" spans="1:7" ht="20.100000000000001" customHeight="1" x14ac:dyDescent="0.25">
      <c r="A209" s="124" t="s">
        <v>560</v>
      </c>
      <c r="B209" s="125" t="s">
        <v>561</v>
      </c>
      <c r="C209" s="121" t="s">
        <v>562</v>
      </c>
      <c r="D209" s="70">
        <v>1</v>
      </c>
      <c r="E209" s="121"/>
      <c r="F209" s="159"/>
      <c r="G209" s="56"/>
    </row>
    <row r="210" spans="1:7" ht="20.100000000000001" customHeight="1" x14ac:dyDescent="0.25">
      <c r="A210" s="124" t="s">
        <v>563</v>
      </c>
      <c r="B210" s="125" t="s">
        <v>564</v>
      </c>
      <c r="C210" s="121" t="s">
        <v>565</v>
      </c>
      <c r="D210" s="70">
        <v>6</v>
      </c>
      <c r="E210" s="121"/>
      <c r="F210" s="159"/>
      <c r="G210" s="56"/>
    </row>
    <row r="211" spans="1:7" ht="20.100000000000001" customHeight="1" x14ac:dyDescent="0.25">
      <c r="A211" s="124" t="s">
        <v>566</v>
      </c>
      <c r="B211" s="125" t="s">
        <v>567</v>
      </c>
      <c r="C211" s="121" t="s">
        <v>568</v>
      </c>
      <c r="D211" s="70">
        <v>6</v>
      </c>
      <c r="E211" s="121"/>
      <c r="F211" s="159"/>
      <c r="G211" s="56"/>
    </row>
    <row r="212" spans="1:7" ht="20.100000000000001" customHeight="1" x14ac:dyDescent="0.25">
      <c r="A212" s="124" t="s">
        <v>569</v>
      </c>
      <c r="B212" s="125" t="s">
        <v>570</v>
      </c>
      <c r="C212" s="121" t="s">
        <v>571</v>
      </c>
      <c r="D212" s="70">
        <v>6</v>
      </c>
      <c r="E212" s="121"/>
      <c r="F212" s="159"/>
      <c r="G212" s="56"/>
    </row>
    <row r="213" spans="1:7" ht="20.100000000000001" customHeight="1" x14ac:dyDescent="0.25">
      <c r="A213" s="124" t="s">
        <v>572</v>
      </c>
      <c r="B213" s="125" t="s">
        <v>573</v>
      </c>
      <c r="C213" s="121" t="s">
        <v>574</v>
      </c>
      <c r="D213" s="70">
        <v>6</v>
      </c>
      <c r="E213" s="121"/>
      <c r="F213" s="159"/>
      <c r="G213" s="56"/>
    </row>
    <row r="214" spans="1:7" ht="20.100000000000001" customHeight="1" x14ac:dyDescent="0.25">
      <c r="A214" s="124" t="s">
        <v>575</v>
      </c>
      <c r="B214" s="125" t="s">
        <v>564</v>
      </c>
      <c r="C214" s="121" t="s">
        <v>576</v>
      </c>
      <c r="D214" s="70">
        <v>3</v>
      </c>
      <c r="E214" s="121"/>
      <c r="F214" s="159"/>
      <c r="G214" s="56"/>
    </row>
    <row r="215" spans="1:7" ht="20.100000000000001" customHeight="1" x14ac:dyDescent="0.25">
      <c r="A215" s="124" t="s">
        <v>577</v>
      </c>
      <c r="B215" s="125">
        <v>190703646</v>
      </c>
      <c r="C215" s="121" t="s">
        <v>578</v>
      </c>
      <c r="D215" s="70">
        <v>2</v>
      </c>
      <c r="E215" s="121"/>
      <c r="F215" s="159"/>
      <c r="G215" s="56"/>
    </row>
    <row r="216" spans="1:7" ht="20.100000000000001" customHeight="1" x14ac:dyDescent="0.25">
      <c r="A216" s="124" t="s">
        <v>579</v>
      </c>
      <c r="B216" s="125">
        <v>190703645</v>
      </c>
      <c r="C216" s="121" t="s">
        <v>580</v>
      </c>
      <c r="D216" s="70">
        <v>4</v>
      </c>
      <c r="E216" s="121"/>
      <c r="F216" s="159"/>
      <c r="G216" s="56"/>
    </row>
    <row r="217" spans="1:7" ht="20.100000000000001" customHeight="1" x14ac:dyDescent="0.25">
      <c r="A217" s="124" t="s">
        <v>581</v>
      </c>
      <c r="B217" s="125">
        <v>190703644</v>
      </c>
      <c r="C217" s="121" t="s">
        <v>582</v>
      </c>
      <c r="D217" s="70">
        <v>3</v>
      </c>
      <c r="E217" s="121"/>
      <c r="F217" s="159"/>
      <c r="G217" s="56"/>
    </row>
    <row r="218" spans="1:7" ht="20.100000000000001" customHeight="1" x14ac:dyDescent="0.25">
      <c r="A218" s="124" t="s">
        <v>583</v>
      </c>
      <c r="B218" s="125">
        <v>190703644</v>
      </c>
      <c r="C218" s="121" t="s">
        <v>584</v>
      </c>
      <c r="D218" s="70">
        <v>3</v>
      </c>
      <c r="E218" s="121"/>
      <c r="F218" s="159"/>
      <c r="G218" s="56"/>
    </row>
    <row r="219" spans="1:7" ht="20.100000000000001" customHeight="1" x14ac:dyDescent="0.25">
      <c r="A219" s="124"/>
      <c r="B219" s="125"/>
      <c r="C219" s="121"/>
      <c r="D219" s="71">
        <f>SUM(D203:D218)</f>
        <v>64</v>
      </c>
      <c r="E219" s="121"/>
      <c r="F219" s="159"/>
      <c r="G219" s="56"/>
    </row>
    <row r="220" spans="1:7" ht="20.100000000000001" customHeight="1" x14ac:dyDescent="0.25">
      <c r="A220" s="124" t="s">
        <v>585</v>
      </c>
      <c r="B220" s="125">
        <v>190704157</v>
      </c>
      <c r="C220" s="121" t="s">
        <v>586</v>
      </c>
      <c r="D220" s="70">
        <v>1</v>
      </c>
      <c r="E220" s="121"/>
      <c r="F220" s="159"/>
      <c r="G220" s="56"/>
    </row>
    <row r="221" spans="1:7" ht="20.100000000000001" customHeight="1" x14ac:dyDescent="0.25">
      <c r="A221" s="124" t="s">
        <v>587</v>
      </c>
      <c r="B221" s="125">
        <v>190704165</v>
      </c>
      <c r="C221" s="121" t="s">
        <v>588</v>
      </c>
      <c r="D221" s="70">
        <v>1</v>
      </c>
      <c r="E221" s="121"/>
      <c r="F221" s="159"/>
      <c r="G221" s="56"/>
    </row>
    <row r="222" spans="1:7" ht="20.100000000000001" customHeight="1" x14ac:dyDescent="0.25">
      <c r="A222" s="124" t="s">
        <v>589</v>
      </c>
      <c r="B222" s="125">
        <v>190704164</v>
      </c>
      <c r="C222" s="121" t="s">
        <v>590</v>
      </c>
      <c r="D222" s="70">
        <v>0</v>
      </c>
      <c r="E222" s="121"/>
      <c r="F222" s="159"/>
      <c r="G222" s="56"/>
    </row>
    <row r="223" spans="1:7" ht="20.100000000000001" customHeight="1" x14ac:dyDescent="0.25">
      <c r="A223" s="124" t="s">
        <v>591</v>
      </c>
      <c r="B223" s="125">
        <v>190704163</v>
      </c>
      <c r="C223" s="121" t="s">
        <v>592</v>
      </c>
      <c r="D223" s="70">
        <v>2</v>
      </c>
      <c r="E223" s="121"/>
      <c r="F223" s="159"/>
      <c r="G223" s="56"/>
    </row>
    <row r="224" spans="1:7" ht="20.100000000000001" customHeight="1" x14ac:dyDescent="0.25">
      <c r="A224" s="124" t="s">
        <v>593</v>
      </c>
      <c r="B224" s="125">
        <v>190704161</v>
      </c>
      <c r="C224" s="121" t="s">
        <v>594</v>
      </c>
      <c r="D224" s="70">
        <v>3</v>
      </c>
      <c r="E224" s="121"/>
      <c r="F224" s="159"/>
      <c r="G224" s="56"/>
    </row>
    <row r="225" spans="1:7" ht="20.100000000000001" customHeight="1" x14ac:dyDescent="0.25">
      <c r="A225" s="124" t="s">
        <v>595</v>
      </c>
      <c r="B225" s="125">
        <v>190704162</v>
      </c>
      <c r="C225" s="121" t="s">
        <v>596</v>
      </c>
      <c r="D225" s="70">
        <v>3</v>
      </c>
      <c r="E225" s="121"/>
      <c r="F225" s="159"/>
      <c r="G225" s="56"/>
    </row>
    <row r="226" spans="1:7" ht="20.100000000000001" customHeight="1" x14ac:dyDescent="0.25">
      <c r="A226" s="124" t="s">
        <v>349</v>
      </c>
      <c r="B226" s="125">
        <v>190704155</v>
      </c>
      <c r="C226" s="121" t="s">
        <v>350</v>
      </c>
      <c r="D226" s="70">
        <v>1</v>
      </c>
      <c r="E226" s="121"/>
      <c r="F226" s="159"/>
      <c r="G226" s="56"/>
    </row>
    <row r="227" spans="1:7" ht="20.100000000000001" customHeight="1" x14ac:dyDescent="0.25">
      <c r="A227" s="124" t="s">
        <v>597</v>
      </c>
      <c r="B227" s="125">
        <v>190704168</v>
      </c>
      <c r="C227" s="121" t="s">
        <v>598</v>
      </c>
      <c r="D227" s="70">
        <v>2</v>
      </c>
      <c r="E227" s="121"/>
      <c r="F227" s="159"/>
      <c r="G227" s="56"/>
    </row>
    <row r="228" spans="1:7" ht="20.100000000000001" customHeight="1" x14ac:dyDescent="0.25">
      <c r="A228" s="124" t="s">
        <v>589</v>
      </c>
      <c r="B228" s="125">
        <v>190704164</v>
      </c>
      <c r="C228" s="121" t="s">
        <v>599</v>
      </c>
      <c r="D228" s="70">
        <v>1</v>
      </c>
      <c r="E228" s="121"/>
      <c r="F228" s="159"/>
      <c r="G228" s="56"/>
    </row>
    <row r="229" spans="1:7" ht="20.100000000000001" customHeight="1" x14ac:dyDescent="0.25">
      <c r="A229" s="124" t="s">
        <v>600</v>
      </c>
      <c r="B229" s="125">
        <v>190704168</v>
      </c>
      <c r="C229" s="121" t="s">
        <v>601</v>
      </c>
      <c r="D229" s="70">
        <v>1</v>
      </c>
      <c r="E229" s="121"/>
      <c r="F229" s="159"/>
      <c r="G229" s="56"/>
    </row>
    <row r="230" spans="1:7" ht="20.100000000000001" customHeight="1" x14ac:dyDescent="0.25">
      <c r="A230" s="124" t="s">
        <v>602</v>
      </c>
      <c r="B230" s="125">
        <v>190704159</v>
      </c>
      <c r="C230" s="121" t="s">
        <v>603</v>
      </c>
      <c r="D230" s="70">
        <v>3</v>
      </c>
      <c r="E230" s="121"/>
      <c r="F230" s="159"/>
      <c r="G230" s="56"/>
    </row>
    <row r="231" spans="1:7" ht="20.100000000000001" customHeight="1" x14ac:dyDescent="0.25">
      <c r="A231" s="124" t="s">
        <v>604</v>
      </c>
      <c r="B231" s="125">
        <v>190704167</v>
      </c>
      <c r="C231" s="121" t="s">
        <v>605</v>
      </c>
      <c r="D231" s="70">
        <v>2</v>
      </c>
      <c r="E231" s="121"/>
      <c r="F231" s="159"/>
      <c r="G231" s="56"/>
    </row>
    <row r="232" spans="1:7" ht="20.100000000000001" customHeight="1" x14ac:dyDescent="0.25">
      <c r="A232" s="124" t="s">
        <v>606</v>
      </c>
      <c r="B232" s="125">
        <v>190704166</v>
      </c>
      <c r="C232" s="121" t="s">
        <v>607</v>
      </c>
      <c r="D232" s="70">
        <v>1</v>
      </c>
      <c r="E232" s="121"/>
      <c r="F232" s="159"/>
      <c r="G232" s="56"/>
    </row>
    <row r="233" spans="1:7" ht="20.100000000000001" customHeight="1" x14ac:dyDescent="0.25">
      <c r="A233" s="124" t="s">
        <v>608</v>
      </c>
      <c r="B233" s="125">
        <v>190704155</v>
      </c>
      <c r="C233" s="121" t="s">
        <v>609</v>
      </c>
      <c r="D233" s="70">
        <v>2</v>
      </c>
      <c r="E233" s="121"/>
      <c r="F233" s="159"/>
      <c r="G233" s="56"/>
    </row>
    <row r="234" spans="1:7" ht="20.100000000000001" customHeight="1" x14ac:dyDescent="0.25">
      <c r="A234" s="124" t="s">
        <v>610</v>
      </c>
      <c r="B234" s="125">
        <v>190704160</v>
      </c>
      <c r="C234" s="121" t="s">
        <v>611</v>
      </c>
      <c r="D234" s="70">
        <v>1</v>
      </c>
      <c r="E234" s="121"/>
      <c r="F234" s="159"/>
      <c r="G234" s="56"/>
    </row>
    <row r="235" spans="1:7" ht="20.100000000000001" customHeight="1" x14ac:dyDescent="0.25">
      <c r="A235" s="124"/>
      <c r="B235" s="125"/>
      <c r="C235" s="121"/>
      <c r="D235" s="71">
        <f>SUM(D220:D234)</f>
        <v>24</v>
      </c>
      <c r="E235" s="121"/>
      <c r="F235" s="159"/>
      <c r="G235" s="56"/>
    </row>
    <row r="236" spans="1:7" ht="20.100000000000001" customHeight="1" x14ac:dyDescent="0.25">
      <c r="A236" s="124" t="s">
        <v>612</v>
      </c>
      <c r="B236" s="125">
        <v>190703608</v>
      </c>
      <c r="C236" s="121" t="s">
        <v>613</v>
      </c>
      <c r="D236" s="70">
        <v>4</v>
      </c>
      <c r="E236" s="121"/>
      <c r="F236" s="159"/>
      <c r="G236" s="56"/>
    </row>
    <row r="237" spans="1:7" ht="20.100000000000001" customHeight="1" x14ac:dyDescent="0.25">
      <c r="A237" s="124" t="s">
        <v>614</v>
      </c>
      <c r="B237" s="125">
        <v>190703607</v>
      </c>
      <c r="C237" s="121" t="s">
        <v>615</v>
      </c>
      <c r="D237" s="70">
        <v>4</v>
      </c>
      <c r="E237" s="121"/>
      <c r="F237" s="159"/>
      <c r="G237" s="56"/>
    </row>
    <row r="238" spans="1:7" ht="20.100000000000001" customHeight="1" x14ac:dyDescent="0.25">
      <c r="A238" s="124" t="s">
        <v>616</v>
      </c>
      <c r="B238" s="125">
        <v>190703606</v>
      </c>
      <c r="C238" s="121" t="s">
        <v>617</v>
      </c>
      <c r="D238" s="70">
        <v>4</v>
      </c>
      <c r="E238" s="121"/>
      <c r="F238" s="159"/>
      <c r="G238" s="56"/>
    </row>
    <row r="239" spans="1:7" ht="20.100000000000001" customHeight="1" x14ac:dyDescent="0.25">
      <c r="A239" s="124" t="s">
        <v>618</v>
      </c>
      <c r="B239" s="125">
        <v>190703605</v>
      </c>
      <c r="C239" s="121" t="s">
        <v>619</v>
      </c>
      <c r="D239" s="70">
        <v>4</v>
      </c>
      <c r="E239" s="121"/>
      <c r="F239" s="159"/>
      <c r="G239" s="56"/>
    </row>
    <row r="240" spans="1:7" ht="20.100000000000001" customHeight="1" x14ac:dyDescent="0.25">
      <c r="A240" s="124" t="s">
        <v>620</v>
      </c>
      <c r="B240" s="125">
        <v>190703604</v>
      </c>
      <c r="C240" s="121" t="s">
        <v>621</v>
      </c>
      <c r="D240" s="70">
        <v>4</v>
      </c>
      <c r="E240" s="121"/>
      <c r="F240" s="159"/>
      <c r="G240" s="56"/>
    </row>
    <row r="241" spans="1:7" ht="20.100000000000001" customHeight="1" x14ac:dyDescent="0.25">
      <c r="A241" s="124" t="s">
        <v>622</v>
      </c>
      <c r="B241" s="125">
        <v>190703603</v>
      </c>
      <c r="C241" s="121" t="s">
        <v>623</v>
      </c>
      <c r="D241" s="70">
        <v>4</v>
      </c>
      <c r="E241" s="121"/>
      <c r="F241" s="159"/>
      <c r="G241" s="56"/>
    </row>
    <row r="242" spans="1:7" ht="20.100000000000001" customHeight="1" x14ac:dyDescent="0.25">
      <c r="A242" s="124" t="s">
        <v>624</v>
      </c>
      <c r="B242" s="125">
        <v>190703602</v>
      </c>
      <c r="C242" s="121" t="s">
        <v>625</v>
      </c>
      <c r="D242" s="70">
        <v>4</v>
      </c>
      <c r="E242" s="121"/>
      <c r="F242" s="159"/>
      <c r="G242" s="56"/>
    </row>
    <row r="243" spans="1:7" ht="20.100000000000001" customHeight="1" x14ac:dyDescent="0.25">
      <c r="A243" s="124" t="s">
        <v>626</v>
      </c>
      <c r="B243" s="125">
        <v>190703601</v>
      </c>
      <c r="C243" s="121" t="s">
        <v>627</v>
      </c>
      <c r="D243" s="70">
        <v>4</v>
      </c>
      <c r="E243" s="121"/>
      <c r="F243" s="159"/>
      <c r="G243" s="56"/>
    </row>
    <row r="244" spans="1:7" ht="20.100000000000001" customHeight="1" x14ac:dyDescent="0.25">
      <c r="A244" s="124" t="s">
        <v>628</v>
      </c>
      <c r="B244" s="125">
        <v>190703600</v>
      </c>
      <c r="C244" s="121" t="s">
        <v>629</v>
      </c>
      <c r="D244" s="70">
        <v>4</v>
      </c>
      <c r="E244" s="121"/>
      <c r="F244" s="159"/>
      <c r="G244" s="56"/>
    </row>
    <row r="245" spans="1:7" ht="20.100000000000001" customHeight="1" x14ac:dyDescent="0.25">
      <c r="A245" s="124" t="s">
        <v>630</v>
      </c>
      <c r="B245" s="125">
        <v>190703599</v>
      </c>
      <c r="C245" s="121" t="s">
        <v>631</v>
      </c>
      <c r="D245" s="70">
        <v>4</v>
      </c>
      <c r="E245" s="121"/>
      <c r="F245" s="159"/>
      <c r="G245" s="56"/>
    </row>
    <row r="246" spans="1:7" ht="20.100000000000001" customHeight="1" x14ac:dyDescent="0.25">
      <c r="A246" s="124" t="s">
        <v>632</v>
      </c>
      <c r="B246" s="125">
        <v>190703598</v>
      </c>
      <c r="C246" s="121" t="s">
        <v>633</v>
      </c>
      <c r="D246" s="70">
        <v>4</v>
      </c>
      <c r="E246" s="121"/>
      <c r="F246" s="159"/>
      <c r="G246" s="56"/>
    </row>
    <row r="247" spans="1:7" ht="20.100000000000001" customHeight="1" x14ac:dyDescent="0.25">
      <c r="A247" s="124" t="s">
        <v>634</v>
      </c>
      <c r="B247" s="125">
        <v>190703597</v>
      </c>
      <c r="C247" s="121" t="s">
        <v>635</v>
      </c>
      <c r="D247" s="70">
        <v>4</v>
      </c>
      <c r="E247" s="121"/>
      <c r="F247" s="159"/>
      <c r="G247" s="56"/>
    </row>
    <row r="248" spans="1:7" ht="20.100000000000001" customHeight="1" x14ac:dyDescent="0.25">
      <c r="A248" s="124" t="s">
        <v>636</v>
      </c>
      <c r="B248" s="125">
        <v>190703596</v>
      </c>
      <c r="C248" s="121" t="s">
        <v>637</v>
      </c>
      <c r="D248" s="70">
        <v>4</v>
      </c>
      <c r="E248" s="121"/>
      <c r="F248" s="159"/>
      <c r="G248" s="56"/>
    </row>
    <row r="249" spans="1:7" ht="20.100000000000001" customHeight="1" x14ac:dyDescent="0.25">
      <c r="A249" s="124" t="s">
        <v>638</v>
      </c>
      <c r="B249" s="125">
        <v>190703595</v>
      </c>
      <c r="C249" s="121" t="s">
        <v>639</v>
      </c>
      <c r="D249" s="70">
        <v>3</v>
      </c>
      <c r="E249" s="121"/>
      <c r="F249" s="159"/>
      <c r="G249" s="56"/>
    </row>
    <row r="250" spans="1:7" ht="20.100000000000001" customHeight="1" x14ac:dyDescent="0.25">
      <c r="A250" s="124" t="s">
        <v>640</v>
      </c>
      <c r="B250" s="125">
        <v>190703594</v>
      </c>
      <c r="C250" s="121" t="s">
        <v>641</v>
      </c>
      <c r="D250" s="70">
        <v>1</v>
      </c>
      <c r="E250" s="121"/>
      <c r="F250" s="159"/>
      <c r="G250" s="56"/>
    </row>
    <row r="251" spans="1:7" ht="20.100000000000001" customHeight="1" x14ac:dyDescent="0.25">
      <c r="A251" s="124" t="s">
        <v>642</v>
      </c>
      <c r="B251" s="125">
        <v>190703594</v>
      </c>
      <c r="C251" s="121" t="s">
        <v>643</v>
      </c>
      <c r="D251" s="70">
        <v>2</v>
      </c>
      <c r="E251" s="121"/>
      <c r="F251" s="159"/>
      <c r="G251" s="56"/>
    </row>
    <row r="252" spans="1:7" ht="20.100000000000001" customHeight="1" x14ac:dyDescent="0.25">
      <c r="A252" s="124"/>
      <c r="B252" s="125"/>
      <c r="C252" s="121"/>
      <c r="D252" s="71">
        <f>SUM(D236:D251)</f>
        <v>58</v>
      </c>
      <c r="E252" s="121"/>
      <c r="F252" s="159"/>
      <c r="G252" s="56"/>
    </row>
    <row r="253" spans="1:7" ht="20.100000000000001" customHeight="1" x14ac:dyDescent="0.25">
      <c r="A253" s="124" t="s">
        <v>644</v>
      </c>
      <c r="B253" s="125">
        <v>190703625</v>
      </c>
      <c r="C253" s="121" t="s">
        <v>645</v>
      </c>
      <c r="D253" s="70">
        <v>4</v>
      </c>
      <c r="E253" s="121"/>
      <c r="F253" s="159"/>
      <c r="G253" s="56"/>
    </row>
    <row r="254" spans="1:7" ht="20.100000000000001" customHeight="1" x14ac:dyDescent="0.25">
      <c r="A254" s="124" t="s">
        <v>646</v>
      </c>
      <c r="B254" s="125">
        <v>190703624</v>
      </c>
      <c r="C254" s="121" t="s">
        <v>647</v>
      </c>
      <c r="D254" s="70">
        <v>4</v>
      </c>
      <c r="E254" s="121"/>
      <c r="F254" s="159"/>
      <c r="G254" s="56"/>
    </row>
    <row r="255" spans="1:7" ht="20.100000000000001" customHeight="1" x14ac:dyDescent="0.25">
      <c r="A255" s="124" t="s">
        <v>648</v>
      </c>
      <c r="B255" s="125">
        <v>2100028848</v>
      </c>
      <c r="C255" s="121" t="s">
        <v>649</v>
      </c>
      <c r="D255" s="70">
        <v>4</v>
      </c>
      <c r="E255" s="121"/>
      <c r="F255" s="159"/>
      <c r="G255" s="56"/>
    </row>
    <row r="256" spans="1:7" ht="20.100000000000001" customHeight="1" x14ac:dyDescent="0.25">
      <c r="A256" s="124" t="s">
        <v>650</v>
      </c>
      <c r="B256" s="125">
        <v>190703622</v>
      </c>
      <c r="C256" s="121" t="s">
        <v>651</v>
      </c>
      <c r="D256" s="70">
        <v>4</v>
      </c>
      <c r="E256" s="121"/>
      <c r="F256" s="159"/>
      <c r="G256" s="56"/>
    </row>
    <row r="257" spans="1:7" ht="20.100000000000001" customHeight="1" x14ac:dyDescent="0.25">
      <c r="A257" s="124" t="s">
        <v>652</v>
      </c>
      <c r="B257" s="125">
        <v>2000107191</v>
      </c>
      <c r="C257" s="121" t="s">
        <v>653</v>
      </c>
      <c r="D257" s="70">
        <v>4</v>
      </c>
      <c r="E257" s="121"/>
      <c r="F257" s="159"/>
      <c r="G257" s="56"/>
    </row>
    <row r="258" spans="1:7" ht="20.100000000000001" customHeight="1" x14ac:dyDescent="0.25">
      <c r="A258" s="124" t="s">
        <v>654</v>
      </c>
      <c r="B258" s="125">
        <v>190703620</v>
      </c>
      <c r="C258" s="121" t="s">
        <v>655</v>
      </c>
      <c r="D258" s="70">
        <v>2</v>
      </c>
      <c r="E258" s="121"/>
      <c r="F258" s="159"/>
      <c r="G258" s="56"/>
    </row>
    <row r="259" spans="1:7" ht="20.100000000000001" customHeight="1" x14ac:dyDescent="0.25">
      <c r="A259" s="124" t="s">
        <v>656</v>
      </c>
      <c r="B259" s="125">
        <v>190703619</v>
      </c>
      <c r="C259" s="121" t="s">
        <v>657</v>
      </c>
      <c r="D259" s="70">
        <v>0</v>
      </c>
      <c r="E259" s="121"/>
      <c r="F259" s="159"/>
      <c r="G259" s="56"/>
    </row>
    <row r="260" spans="1:7" ht="20.100000000000001" customHeight="1" x14ac:dyDescent="0.25">
      <c r="A260" s="124" t="s">
        <v>658</v>
      </c>
      <c r="B260" s="125">
        <v>190703618</v>
      </c>
      <c r="C260" s="121" t="s">
        <v>659</v>
      </c>
      <c r="D260" s="70">
        <v>4</v>
      </c>
      <c r="E260" s="121"/>
      <c r="F260" s="159"/>
      <c r="G260" s="56"/>
    </row>
    <row r="261" spans="1:7" ht="20.100000000000001" customHeight="1" x14ac:dyDescent="0.25">
      <c r="A261" s="124" t="s">
        <v>660</v>
      </c>
      <c r="B261" s="125">
        <v>190703617</v>
      </c>
      <c r="C261" s="121" t="s">
        <v>661</v>
      </c>
      <c r="D261" s="70">
        <v>4</v>
      </c>
      <c r="E261" s="121"/>
      <c r="F261" s="159"/>
      <c r="G261" s="56"/>
    </row>
    <row r="262" spans="1:7" ht="20.100000000000001" customHeight="1" x14ac:dyDescent="0.25">
      <c r="A262" s="124" t="s">
        <v>662</v>
      </c>
      <c r="B262" s="125">
        <v>190703616</v>
      </c>
      <c r="C262" s="121" t="s">
        <v>663</v>
      </c>
      <c r="D262" s="70">
        <v>4</v>
      </c>
      <c r="E262" s="121"/>
      <c r="F262" s="159"/>
      <c r="G262" s="56"/>
    </row>
    <row r="263" spans="1:7" ht="20.100000000000001" customHeight="1" x14ac:dyDescent="0.25">
      <c r="A263" s="124" t="s">
        <v>664</v>
      </c>
      <c r="B263" s="125">
        <v>190703615</v>
      </c>
      <c r="C263" s="121" t="s">
        <v>665</v>
      </c>
      <c r="D263" s="70">
        <v>4</v>
      </c>
      <c r="E263" s="121"/>
      <c r="F263" s="159"/>
      <c r="G263" s="56"/>
    </row>
    <row r="264" spans="1:7" ht="20.100000000000001" customHeight="1" x14ac:dyDescent="0.25">
      <c r="A264" s="124" t="s">
        <v>666</v>
      </c>
      <c r="B264" s="125">
        <v>190703614</v>
      </c>
      <c r="C264" s="121" t="s">
        <v>667</v>
      </c>
      <c r="D264" s="70">
        <v>4</v>
      </c>
      <c r="E264" s="121"/>
      <c r="F264" s="159"/>
      <c r="G264" s="56"/>
    </row>
    <row r="265" spans="1:7" ht="20.100000000000001" customHeight="1" x14ac:dyDescent="0.25">
      <c r="A265" s="124" t="s">
        <v>668</v>
      </c>
      <c r="B265" s="125">
        <v>190703613</v>
      </c>
      <c r="C265" s="121" t="s">
        <v>669</v>
      </c>
      <c r="D265" s="70">
        <v>4</v>
      </c>
      <c r="E265" s="121"/>
      <c r="F265" s="159"/>
      <c r="G265" s="56"/>
    </row>
    <row r="266" spans="1:7" ht="20.100000000000001" customHeight="1" x14ac:dyDescent="0.25">
      <c r="A266" s="124" t="s">
        <v>670</v>
      </c>
      <c r="B266" s="125">
        <v>190703612</v>
      </c>
      <c r="C266" s="121" t="s">
        <v>671</v>
      </c>
      <c r="D266" s="70">
        <v>4</v>
      </c>
      <c r="E266" s="121"/>
      <c r="F266" s="159"/>
      <c r="G266" s="56"/>
    </row>
    <row r="267" spans="1:7" ht="20.100000000000001" customHeight="1" x14ac:dyDescent="0.25">
      <c r="A267" s="124" t="s">
        <v>672</v>
      </c>
      <c r="B267" s="125">
        <v>190703611</v>
      </c>
      <c r="C267" s="121" t="s">
        <v>673</v>
      </c>
      <c r="D267" s="70">
        <v>4</v>
      </c>
      <c r="E267" s="121"/>
      <c r="F267" s="159"/>
      <c r="G267" s="56"/>
    </row>
    <row r="268" spans="1:7" ht="20.100000000000001" customHeight="1" x14ac:dyDescent="0.25">
      <c r="A268" s="124" t="s">
        <v>674</v>
      </c>
      <c r="B268" s="125">
        <v>190703610</v>
      </c>
      <c r="C268" s="121" t="s">
        <v>675</v>
      </c>
      <c r="D268" s="70">
        <v>4</v>
      </c>
      <c r="E268" s="121"/>
      <c r="F268" s="159"/>
      <c r="G268" s="56"/>
    </row>
    <row r="269" spans="1:7" ht="20.100000000000001" customHeight="1" x14ac:dyDescent="0.25">
      <c r="A269" s="124" t="s">
        <v>676</v>
      </c>
      <c r="B269" s="125">
        <v>190703609</v>
      </c>
      <c r="C269" s="121" t="s">
        <v>677</v>
      </c>
      <c r="D269" s="70">
        <v>4</v>
      </c>
      <c r="E269" s="121"/>
      <c r="F269" s="159"/>
      <c r="G269" s="56"/>
    </row>
    <row r="270" spans="1:7" ht="20.100000000000001" customHeight="1" x14ac:dyDescent="0.25">
      <c r="A270" s="124" t="s">
        <v>678</v>
      </c>
      <c r="B270" s="125"/>
      <c r="C270" s="121" t="s">
        <v>679</v>
      </c>
      <c r="D270" s="70">
        <v>1</v>
      </c>
      <c r="E270" s="121"/>
      <c r="F270" s="159"/>
      <c r="G270" s="56"/>
    </row>
    <row r="271" spans="1:7" ht="20.100000000000001" customHeight="1" x14ac:dyDescent="0.25">
      <c r="A271" s="124"/>
      <c r="B271" s="125"/>
      <c r="C271" s="121"/>
      <c r="D271" s="71">
        <f>SUM(D253:D270)</f>
        <v>63</v>
      </c>
      <c r="E271" s="121"/>
      <c r="F271" s="159"/>
      <c r="G271" s="56"/>
    </row>
    <row r="272" spans="1:7" ht="20.100000000000001" customHeight="1" x14ac:dyDescent="0.25">
      <c r="A272" s="124">
        <v>1580</v>
      </c>
      <c r="B272" s="125">
        <v>190703591</v>
      </c>
      <c r="C272" s="121" t="s">
        <v>680</v>
      </c>
      <c r="D272" s="70">
        <v>2</v>
      </c>
      <c r="E272" s="121"/>
      <c r="F272" s="159"/>
      <c r="G272" s="56"/>
    </row>
    <row r="273" spans="1:7" ht="20.100000000000001" customHeight="1" x14ac:dyDescent="0.25">
      <c r="A273" s="124">
        <v>1581</v>
      </c>
      <c r="B273" s="125">
        <v>190703589</v>
      </c>
      <c r="C273" s="121" t="s">
        <v>681</v>
      </c>
      <c r="D273" s="70">
        <v>8</v>
      </c>
      <c r="E273" s="121"/>
      <c r="F273" s="159"/>
      <c r="G273" s="56"/>
    </row>
    <row r="274" spans="1:7" ht="20.100000000000001" customHeight="1" x14ac:dyDescent="0.25">
      <c r="A274" s="124" t="s">
        <v>682</v>
      </c>
      <c r="B274" s="125">
        <v>190704153</v>
      </c>
      <c r="C274" s="121" t="s">
        <v>683</v>
      </c>
      <c r="D274" s="70">
        <v>7</v>
      </c>
      <c r="E274" s="121"/>
      <c r="F274" s="159"/>
      <c r="G274" s="56"/>
    </row>
    <row r="275" spans="1:7" ht="20.100000000000001" customHeight="1" x14ac:dyDescent="0.25">
      <c r="A275" s="124" t="s">
        <v>684</v>
      </c>
      <c r="B275" s="125">
        <v>190704154</v>
      </c>
      <c r="C275" s="121" t="s">
        <v>685</v>
      </c>
      <c r="D275" s="70">
        <v>6</v>
      </c>
      <c r="E275" s="121"/>
      <c r="F275" s="159"/>
      <c r="G275" s="56"/>
    </row>
    <row r="276" spans="1:7" ht="20.100000000000001" customHeight="1" x14ac:dyDescent="0.25">
      <c r="A276" s="124" t="s">
        <v>686</v>
      </c>
      <c r="B276" s="125">
        <v>190704152</v>
      </c>
      <c r="C276" s="121" t="s">
        <v>687</v>
      </c>
      <c r="D276" s="70">
        <v>1</v>
      </c>
      <c r="E276" s="121"/>
      <c r="F276" s="159"/>
      <c r="G276" s="56"/>
    </row>
    <row r="277" spans="1:7" ht="20.100000000000001" customHeight="1" x14ac:dyDescent="0.25">
      <c r="A277" s="124"/>
      <c r="B277" s="125"/>
      <c r="C277" s="121"/>
      <c r="D277" s="71">
        <f>SUM(D272:D276)</f>
        <v>24</v>
      </c>
      <c r="E277" s="121"/>
      <c r="F277" s="159"/>
      <c r="G277" s="56"/>
    </row>
    <row r="278" spans="1:7" ht="20.100000000000001" customHeight="1" x14ac:dyDescent="0.25">
      <c r="A278" s="124" t="s">
        <v>688</v>
      </c>
      <c r="B278" s="125">
        <v>190703575</v>
      </c>
      <c r="C278" s="121" t="s">
        <v>689</v>
      </c>
      <c r="D278" s="70">
        <v>1</v>
      </c>
      <c r="E278" s="121"/>
      <c r="F278" s="159"/>
      <c r="G278" s="56"/>
    </row>
    <row r="279" spans="1:7" ht="20.100000000000001" customHeight="1" x14ac:dyDescent="0.25">
      <c r="A279" s="124" t="s">
        <v>690</v>
      </c>
      <c r="B279" s="125">
        <v>190703575</v>
      </c>
      <c r="C279" s="121" t="s">
        <v>691</v>
      </c>
      <c r="D279" s="70">
        <v>2</v>
      </c>
      <c r="E279" s="121"/>
      <c r="F279" s="159"/>
      <c r="G279" s="56"/>
    </row>
    <row r="280" spans="1:7" ht="20.100000000000001" customHeight="1" x14ac:dyDescent="0.25">
      <c r="A280" s="124" t="s">
        <v>61</v>
      </c>
      <c r="B280" s="125" t="s">
        <v>692</v>
      </c>
      <c r="C280" s="121" t="s">
        <v>693</v>
      </c>
      <c r="D280" s="70">
        <v>3</v>
      </c>
      <c r="E280" s="121"/>
      <c r="F280" s="159"/>
      <c r="G280" s="56"/>
    </row>
    <row r="281" spans="1:7" ht="20.100000000000001" customHeight="1" x14ac:dyDescent="0.25">
      <c r="A281" s="124" t="s">
        <v>694</v>
      </c>
      <c r="B281" s="125" t="s">
        <v>695</v>
      </c>
      <c r="C281" s="121" t="s">
        <v>696</v>
      </c>
      <c r="D281" s="70">
        <v>4</v>
      </c>
      <c r="E281" s="121"/>
      <c r="F281" s="159"/>
      <c r="G281" s="56"/>
    </row>
    <row r="282" spans="1:7" ht="20.100000000000001" customHeight="1" x14ac:dyDescent="0.25">
      <c r="A282" s="124" t="s">
        <v>62</v>
      </c>
      <c r="B282" s="125" t="s">
        <v>63</v>
      </c>
      <c r="C282" s="121" t="s">
        <v>64</v>
      </c>
      <c r="D282" s="70">
        <v>4</v>
      </c>
      <c r="E282" s="121"/>
      <c r="F282" s="159"/>
      <c r="G282" s="56"/>
    </row>
    <row r="283" spans="1:7" ht="20.100000000000001" customHeight="1" x14ac:dyDescent="0.25">
      <c r="A283" s="124" t="s">
        <v>697</v>
      </c>
      <c r="B283" s="125" t="s">
        <v>698</v>
      </c>
      <c r="C283" s="121" t="s">
        <v>699</v>
      </c>
      <c r="D283" s="70">
        <v>4</v>
      </c>
      <c r="E283" s="121"/>
      <c r="F283" s="159"/>
      <c r="G283" s="56"/>
    </row>
    <row r="284" spans="1:7" ht="20.100000000000001" customHeight="1" x14ac:dyDescent="0.25">
      <c r="A284" s="124" t="s">
        <v>65</v>
      </c>
      <c r="B284" s="125" t="s">
        <v>66</v>
      </c>
      <c r="C284" s="121" t="s">
        <v>67</v>
      </c>
      <c r="D284" s="70">
        <v>4</v>
      </c>
      <c r="E284" s="121"/>
      <c r="F284" s="159"/>
      <c r="G284" s="56"/>
    </row>
    <row r="285" spans="1:7" ht="20.100000000000001" customHeight="1" x14ac:dyDescent="0.25">
      <c r="A285" s="124" t="s">
        <v>700</v>
      </c>
      <c r="B285" s="125" t="s">
        <v>701</v>
      </c>
      <c r="C285" s="121" t="s">
        <v>702</v>
      </c>
      <c r="D285" s="70">
        <v>4</v>
      </c>
      <c r="E285" s="121"/>
      <c r="F285" s="159"/>
      <c r="G285" s="56"/>
    </row>
    <row r="286" spans="1:7" ht="20.100000000000001" customHeight="1" x14ac:dyDescent="0.25">
      <c r="A286" s="124" t="s">
        <v>68</v>
      </c>
      <c r="B286" s="125" t="s">
        <v>69</v>
      </c>
      <c r="C286" s="121" t="s">
        <v>70</v>
      </c>
      <c r="D286" s="70">
        <v>4</v>
      </c>
      <c r="E286" s="121"/>
      <c r="F286" s="159"/>
      <c r="G286" s="56"/>
    </row>
    <row r="287" spans="1:7" ht="20.100000000000001" customHeight="1" x14ac:dyDescent="0.25">
      <c r="A287" s="124" t="s">
        <v>71</v>
      </c>
      <c r="B287" s="125" t="s">
        <v>72</v>
      </c>
      <c r="C287" s="121" t="s">
        <v>73</v>
      </c>
      <c r="D287" s="70">
        <v>4</v>
      </c>
      <c r="E287" s="121"/>
      <c r="F287" s="159"/>
      <c r="G287" s="56"/>
    </row>
    <row r="288" spans="1:7" ht="20.100000000000001" customHeight="1" x14ac:dyDescent="0.25">
      <c r="A288" s="124" t="s">
        <v>74</v>
      </c>
      <c r="B288" s="125" t="s">
        <v>75</v>
      </c>
      <c r="C288" s="121" t="s">
        <v>76</v>
      </c>
      <c r="D288" s="70">
        <v>4</v>
      </c>
      <c r="E288" s="121"/>
      <c r="F288" s="159"/>
      <c r="G288" s="56"/>
    </row>
    <row r="289" spans="1:7" ht="20.100000000000001" customHeight="1" x14ac:dyDescent="0.25">
      <c r="A289" s="124" t="s">
        <v>77</v>
      </c>
      <c r="B289" s="125" t="s">
        <v>78</v>
      </c>
      <c r="C289" s="121" t="s">
        <v>79</v>
      </c>
      <c r="D289" s="70">
        <v>1</v>
      </c>
      <c r="E289" s="121"/>
      <c r="F289" s="159"/>
      <c r="G289" s="56"/>
    </row>
    <row r="290" spans="1:7" ht="20.100000000000001" customHeight="1" x14ac:dyDescent="0.25">
      <c r="A290" s="124" t="s">
        <v>80</v>
      </c>
      <c r="B290" s="125" t="s">
        <v>81</v>
      </c>
      <c r="C290" s="121" t="s">
        <v>82</v>
      </c>
      <c r="D290" s="70">
        <v>0</v>
      </c>
      <c r="E290" s="121"/>
      <c r="F290" s="159"/>
      <c r="G290" s="56"/>
    </row>
    <row r="291" spans="1:7" ht="20.100000000000001" customHeight="1" x14ac:dyDescent="0.25">
      <c r="A291" s="124" t="s">
        <v>83</v>
      </c>
      <c r="B291" s="125" t="s">
        <v>84</v>
      </c>
      <c r="C291" s="121" t="s">
        <v>85</v>
      </c>
      <c r="D291" s="70">
        <v>1</v>
      </c>
      <c r="E291" s="121"/>
      <c r="F291" s="159"/>
      <c r="G291" s="56"/>
    </row>
    <row r="292" spans="1:7" ht="20.100000000000001" customHeight="1" x14ac:dyDescent="0.25">
      <c r="A292" s="124" t="s">
        <v>86</v>
      </c>
      <c r="B292" s="125" t="s">
        <v>703</v>
      </c>
      <c r="C292" s="121" t="s">
        <v>87</v>
      </c>
      <c r="D292" s="70">
        <v>1</v>
      </c>
      <c r="E292" s="121"/>
      <c r="F292" s="159"/>
      <c r="G292" s="56"/>
    </row>
    <row r="293" spans="1:7" ht="20.100000000000001" customHeight="1" x14ac:dyDescent="0.25">
      <c r="A293" s="124" t="s">
        <v>88</v>
      </c>
      <c r="B293" s="125" t="s">
        <v>704</v>
      </c>
      <c r="C293" s="121" t="s">
        <v>89</v>
      </c>
      <c r="D293" s="70">
        <v>2</v>
      </c>
      <c r="E293" s="121"/>
      <c r="F293" s="159"/>
      <c r="G293" s="56"/>
    </row>
    <row r="294" spans="1:7" ht="20.100000000000001" customHeight="1" x14ac:dyDescent="0.25">
      <c r="A294" s="124" t="s">
        <v>114</v>
      </c>
      <c r="B294" s="125" t="s">
        <v>705</v>
      </c>
      <c r="C294" s="121" t="s">
        <v>706</v>
      </c>
      <c r="D294" s="70">
        <v>1</v>
      </c>
      <c r="E294" s="121"/>
      <c r="F294" s="159"/>
      <c r="G294" s="56"/>
    </row>
    <row r="295" spans="1:7" ht="20.100000000000001" customHeight="1" x14ac:dyDescent="0.25">
      <c r="A295" s="124" t="s">
        <v>707</v>
      </c>
      <c r="B295" s="125" t="s">
        <v>708</v>
      </c>
      <c r="C295" s="121" t="s">
        <v>709</v>
      </c>
      <c r="D295" s="70">
        <v>2</v>
      </c>
      <c r="E295" s="121"/>
      <c r="F295" s="159"/>
      <c r="G295" s="56"/>
    </row>
    <row r="296" spans="1:7" ht="20.100000000000001" customHeight="1" x14ac:dyDescent="0.25">
      <c r="A296" s="124" t="s">
        <v>710</v>
      </c>
      <c r="B296" s="125">
        <v>190703566</v>
      </c>
      <c r="C296" s="121" t="s">
        <v>711</v>
      </c>
      <c r="D296" s="70">
        <v>3</v>
      </c>
      <c r="E296" s="121"/>
      <c r="F296" s="159"/>
      <c r="G296" s="56"/>
    </row>
    <row r="297" spans="1:7" ht="20.100000000000001" customHeight="1" x14ac:dyDescent="0.25">
      <c r="A297" s="124" t="s">
        <v>712</v>
      </c>
      <c r="B297" s="125">
        <v>190703565</v>
      </c>
      <c r="C297" s="121" t="s">
        <v>713</v>
      </c>
      <c r="D297" s="70">
        <v>3</v>
      </c>
      <c r="E297" s="121"/>
      <c r="F297" s="159"/>
      <c r="G297" s="56"/>
    </row>
    <row r="298" spans="1:7" ht="20.100000000000001" customHeight="1" x14ac:dyDescent="0.25">
      <c r="A298" s="124" t="s">
        <v>714</v>
      </c>
      <c r="B298" s="125">
        <v>190703565</v>
      </c>
      <c r="C298" s="121" t="s">
        <v>715</v>
      </c>
      <c r="D298" s="70">
        <v>2</v>
      </c>
      <c r="E298" s="121"/>
      <c r="F298" s="159"/>
      <c r="G298" s="56"/>
    </row>
    <row r="299" spans="1:7" ht="20.100000000000001" customHeight="1" x14ac:dyDescent="0.25">
      <c r="A299" s="124"/>
      <c r="B299" s="125"/>
      <c r="C299" s="121"/>
      <c r="D299" s="71">
        <f>SUM(D278:D298)</f>
        <v>54</v>
      </c>
      <c r="E299" s="121"/>
      <c r="F299" s="159"/>
      <c r="G299" s="56"/>
    </row>
    <row r="300" spans="1:7" ht="20.100000000000001" customHeight="1" x14ac:dyDescent="0.25">
      <c r="A300" s="124" t="s">
        <v>116</v>
      </c>
      <c r="B300" s="125">
        <v>190703593</v>
      </c>
      <c r="C300" s="121" t="s">
        <v>716</v>
      </c>
      <c r="D300" s="70">
        <v>2</v>
      </c>
      <c r="E300" s="121"/>
      <c r="F300" s="159"/>
      <c r="G300" s="56"/>
    </row>
    <row r="301" spans="1:7" ht="20.100000000000001" customHeight="1" x14ac:dyDescent="0.25">
      <c r="A301" s="124" t="s">
        <v>717</v>
      </c>
      <c r="B301" s="125">
        <v>190703592</v>
      </c>
      <c r="C301" s="121" t="s">
        <v>718</v>
      </c>
      <c r="D301" s="70">
        <v>4</v>
      </c>
      <c r="E301" s="121"/>
      <c r="F301" s="159"/>
      <c r="G301" s="56"/>
    </row>
    <row r="302" spans="1:7" ht="20.100000000000001" customHeight="1" x14ac:dyDescent="0.25">
      <c r="A302" s="124" t="s">
        <v>118</v>
      </c>
      <c r="B302" s="125">
        <v>190703591</v>
      </c>
      <c r="C302" s="121" t="s">
        <v>719</v>
      </c>
      <c r="D302" s="70">
        <v>4</v>
      </c>
      <c r="E302" s="121"/>
      <c r="F302" s="159"/>
      <c r="G302" s="56"/>
    </row>
    <row r="303" spans="1:7" ht="20.100000000000001" customHeight="1" x14ac:dyDescent="0.25">
      <c r="A303" s="124" t="s">
        <v>720</v>
      </c>
      <c r="B303" s="125">
        <v>190703591</v>
      </c>
      <c r="C303" s="121" t="s">
        <v>721</v>
      </c>
      <c r="D303" s="70">
        <v>4</v>
      </c>
      <c r="E303" s="121"/>
      <c r="F303" s="159"/>
      <c r="G303" s="56"/>
    </row>
    <row r="304" spans="1:7" ht="20.100000000000001" customHeight="1" x14ac:dyDescent="0.25">
      <c r="A304" s="124" t="s">
        <v>120</v>
      </c>
      <c r="B304" s="125">
        <v>2100038807</v>
      </c>
      <c r="C304" s="121" t="s">
        <v>121</v>
      </c>
      <c r="D304" s="70">
        <v>4</v>
      </c>
      <c r="E304" s="121"/>
      <c r="F304" s="159"/>
      <c r="G304" s="56"/>
    </row>
    <row r="305" spans="1:7" ht="20.100000000000001" customHeight="1" x14ac:dyDescent="0.25">
      <c r="A305" s="124" t="s">
        <v>122</v>
      </c>
      <c r="B305" s="125">
        <v>200316799</v>
      </c>
      <c r="C305" s="121" t="s">
        <v>123</v>
      </c>
      <c r="D305" s="70">
        <v>4</v>
      </c>
      <c r="E305" s="121"/>
      <c r="F305" s="159"/>
      <c r="G305" s="56"/>
    </row>
    <row r="306" spans="1:7" ht="20.100000000000001" customHeight="1" x14ac:dyDescent="0.25">
      <c r="A306" s="124" t="s">
        <v>722</v>
      </c>
      <c r="B306" s="125">
        <v>200316800</v>
      </c>
      <c r="C306" s="121" t="s">
        <v>125</v>
      </c>
      <c r="D306" s="70">
        <v>4</v>
      </c>
      <c r="E306" s="121"/>
      <c r="F306" s="159"/>
      <c r="G306" s="56"/>
    </row>
    <row r="307" spans="1:7" ht="20.100000000000001" customHeight="1" x14ac:dyDescent="0.25">
      <c r="A307" s="124" t="s">
        <v>124</v>
      </c>
      <c r="B307" s="125">
        <v>200316800</v>
      </c>
      <c r="C307" s="121" t="s">
        <v>723</v>
      </c>
      <c r="D307" s="70">
        <v>5</v>
      </c>
      <c r="E307" s="121"/>
      <c r="F307" s="159"/>
      <c r="G307" s="56"/>
    </row>
    <row r="308" spans="1:7" ht="20.100000000000001" customHeight="1" x14ac:dyDescent="0.25">
      <c r="A308" s="124" t="s">
        <v>126</v>
      </c>
      <c r="B308" s="125">
        <v>2200067735</v>
      </c>
      <c r="C308" s="121" t="s">
        <v>127</v>
      </c>
      <c r="D308" s="70">
        <v>4</v>
      </c>
      <c r="E308" s="121"/>
      <c r="F308" s="159"/>
      <c r="G308" s="56"/>
    </row>
    <row r="309" spans="1:7" ht="20.100000000000001" customHeight="1" x14ac:dyDescent="0.25">
      <c r="A309" s="124" t="s">
        <v>128</v>
      </c>
      <c r="B309" s="125">
        <v>200316801</v>
      </c>
      <c r="C309" s="121" t="s">
        <v>129</v>
      </c>
      <c r="D309" s="70">
        <v>4</v>
      </c>
      <c r="E309" s="121"/>
      <c r="F309" s="159"/>
      <c r="G309" s="56"/>
    </row>
    <row r="310" spans="1:7" ht="20.100000000000001" customHeight="1" x14ac:dyDescent="0.25">
      <c r="A310" s="124" t="s">
        <v>130</v>
      </c>
      <c r="B310" s="125">
        <v>220344114</v>
      </c>
      <c r="C310" s="121" t="s">
        <v>131</v>
      </c>
      <c r="D310" s="70">
        <v>3</v>
      </c>
      <c r="E310" s="121"/>
      <c r="F310" s="159"/>
      <c r="G310" s="56"/>
    </row>
    <row r="311" spans="1:7" ht="20.100000000000001" customHeight="1" x14ac:dyDescent="0.25">
      <c r="A311" s="124" t="s">
        <v>132</v>
      </c>
      <c r="B311" s="125">
        <v>2200100917</v>
      </c>
      <c r="C311" s="121" t="s">
        <v>133</v>
      </c>
      <c r="D311" s="70">
        <v>3</v>
      </c>
      <c r="E311" s="121"/>
      <c r="F311" s="159"/>
      <c r="G311" s="56"/>
    </row>
    <row r="312" spans="1:7" ht="20.100000000000001" customHeight="1" x14ac:dyDescent="0.25">
      <c r="A312" s="124" t="s">
        <v>134</v>
      </c>
      <c r="B312" s="125">
        <v>200316805</v>
      </c>
      <c r="C312" s="121" t="s">
        <v>135</v>
      </c>
      <c r="D312" s="70">
        <v>3</v>
      </c>
      <c r="E312" s="121"/>
      <c r="F312" s="159"/>
      <c r="G312" s="56"/>
    </row>
    <row r="313" spans="1:7" ht="20.100000000000001" customHeight="1" x14ac:dyDescent="0.25">
      <c r="A313" s="124" t="s">
        <v>136</v>
      </c>
      <c r="B313" s="125">
        <v>190703578</v>
      </c>
      <c r="C313" s="121" t="s">
        <v>137</v>
      </c>
      <c r="D313" s="70">
        <v>22</v>
      </c>
      <c r="E313" s="121"/>
      <c r="F313" s="159"/>
      <c r="G313" s="56"/>
    </row>
    <row r="314" spans="1:7" ht="20.100000000000001" customHeight="1" x14ac:dyDescent="0.25">
      <c r="A314" s="124" t="s">
        <v>138</v>
      </c>
      <c r="B314" s="125">
        <v>190703577</v>
      </c>
      <c r="C314" s="121" t="s">
        <v>724</v>
      </c>
      <c r="D314" s="70">
        <v>2</v>
      </c>
      <c r="E314" s="121"/>
      <c r="F314" s="159"/>
      <c r="G314" s="56"/>
    </row>
    <row r="315" spans="1:7" ht="20.100000000000001" customHeight="1" x14ac:dyDescent="0.25">
      <c r="A315" s="124" t="s">
        <v>725</v>
      </c>
      <c r="B315" s="125">
        <v>190703576</v>
      </c>
      <c r="C315" s="121" t="s">
        <v>726</v>
      </c>
      <c r="D315" s="70">
        <v>1</v>
      </c>
      <c r="E315" s="121"/>
      <c r="F315" s="159"/>
      <c r="G315" s="56"/>
    </row>
    <row r="316" spans="1:7" ht="20.100000000000001" customHeight="1" x14ac:dyDescent="0.25">
      <c r="A316" s="124"/>
      <c r="B316" s="125"/>
      <c r="C316" s="121"/>
      <c r="D316" s="71">
        <f>SUM(D300:D315)</f>
        <v>73</v>
      </c>
      <c r="E316" s="124"/>
      <c r="F316" s="159"/>
      <c r="G316" s="56"/>
    </row>
    <row r="317" spans="1:7" ht="20.100000000000001" customHeight="1" x14ac:dyDescent="0.25">
      <c r="A317" s="124" t="s">
        <v>727</v>
      </c>
      <c r="B317" s="125">
        <v>190704148</v>
      </c>
      <c r="C317" s="121" t="s">
        <v>728</v>
      </c>
      <c r="D317" s="70">
        <v>2</v>
      </c>
      <c r="E317" s="124"/>
      <c r="F317" s="159"/>
      <c r="G317" s="56"/>
    </row>
    <row r="318" spans="1:7" ht="20.100000000000001" customHeight="1" x14ac:dyDescent="0.25">
      <c r="A318" s="124" t="s">
        <v>729</v>
      </c>
      <c r="B318" s="125">
        <v>190704147</v>
      </c>
      <c r="C318" s="121" t="s">
        <v>730</v>
      </c>
      <c r="D318" s="70">
        <v>3</v>
      </c>
      <c r="E318" s="124"/>
      <c r="F318" s="159"/>
      <c r="G318" s="56"/>
    </row>
    <row r="319" spans="1:7" ht="20.100000000000001" customHeight="1" x14ac:dyDescent="0.25">
      <c r="A319" s="124" t="s">
        <v>731</v>
      </c>
      <c r="B319" s="125">
        <v>190704147</v>
      </c>
      <c r="C319" s="121" t="s">
        <v>732</v>
      </c>
      <c r="D319" s="70">
        <v>1</v>
      </c>
      <c r="E319" s="124"/>
      <c r="F319" s="159"/>
      <c r="G319" s="56"/>
    </row>
    <row r="320" spans="1:7" ht="20.100000000000001" customHeight="1" x14ac:dyDescent="0.25">
      <c r="A320" s="124" t="s">
        <v>733</v>
      </c>
      <c r="B320" s="125">
        <v>190704150</v>
      </c>
      <c r="C320" s="121" t="s">
        <v>734</v>
      </c>
      <c r="D320" s="70">
        <v>2</v>
      </c>
      <c r="E320" s="124"/>
      <c r="F320" s="159"/>
      <c r="G320" s="56"/>
    </row>
    <row r="321" spans="1:7" ht="20.100000000000001" customHeight="1" x14ac:dyDescent="0.25">
      <c r="A321" s="124" t="s">
        <v>735</v>
      </c>
      <c r="B321" s="125">
        <v>190704149</v>
      </c>
      <c r="C321" s="121" t="s">
        <v>736</v>
      </c>
      <c r="D321" s="70">
        <v>4</v>
      </c>
      <c r="E321" s="121"/>
      <c r="F321" s="159"/>
      <c r="G321" s="56"/>
    </row>
    <row r="322" spans="1:7" ht="20.100000000000001" customHeight="1" x14ac:dyDescent="0.25">
      <c r="A322" s="124"/>
      <c r="B322" s="125"/>
      <c r="C322" s="121"/>
      <c r="D322" s="71">
        <f>SUM(D317:D321)</f>
        <v>12</v>
      </c>
      <c r="E322" s="121"/>
      <c r="F322" s="159"/>
      <c r="G322" s="56"/>
    </row>
    <row r="323" spans="1:7" ht="20.100000000000001" customHeight="1" x14ac:dyDescent="0.25">
      <c r="A323" s="124" t="s">
        <v>737</v>
      </c>
      <c r="B323" s="125">
        <v>190703552</v>
      </c>
      <c r="C323" s="121" t="s">
        <v>738</v>
      </c>
      <c r="D323" s="70">
        <v>4</v>
      </c>
      <c r="E323" s="121"/>
      <c r="F323" s="159"/>
      <c r="G323" s="56"/>
    </row>
    <row r="324" spans="1:7" ht="20.100000000000001" customHeight="1" x14ac:dyDescent="0.25">
      <c r="A324" s="124" t="s">
        <v>739</v>
      </c>
      <c r="B324" s="125">
        <v>190703551</v>
      </c>
      <c r="C324" s="121" t="s">
        <v>740</v>
      </c>
      <c r="D324" s="70">
        <v>4</v>
      </c>
      <c r="E324" s="121"/>
      <c r="F324" s="159"/>
      <c r="G324" s="56"/>
    </row>
    <row r="325" spans="1:7" ht="20.100000000000001" customHeight="1" x14ac:dyDescent="0.25">
      <c r="A325" s="124" t="s">
        <v>741</v>
      </c>
      <c r="B325" s="125">
        <v>2100004807</v>
      </c>
      <c r="C325" s="121" t="s">
        <v>742</v>
      </c>
      <c r="D325" s="70">
        <v>4</v>
      </c>
      <c r="E325" s="121"/>
      <c r="F325" s="159"/>
      <c r="G325" s="56"/>
    </row>
    <row r="326" spans="1:7" ht="20.100000000000001" customHeight="1" x14ac:dyDescent="0.25">
      <c r="A326" s="124" t="s">
        <v>90</v>
      </c>
      <c r="B326" s="125">
        <v>2100010641</v>
      </c>
      <c r="C326" s="121" t="s">
        <v>91</v>
      </c>
      <c r="D326" s="70">
        <v>4</v>
      </c>
      <c r="E326" s="121"/>
      <c r="F326" s="159"/>
      <c r="G326" s="56"/>
    </row>
    <row r="327" spans="1:7" ht="20.100000000000001" customHeight="1" x14ac:dyDescent="0.25">
      <c r="A327" s="124" t="s">
        <v>92</v>
      </c>
      <c r="B327" s="125" t="s">
        <v>93</v>
      </c>
      <c r="C327" s="121" t="s">
        <v>94</v>
      </c>
      <c r="D327" s="70">
        <v>4</v>
      </c>
      <c r="E327" s="121"/>
      <c r="F327" s="159"/>
      <c r="G327" s="56"/>
    </row>
    <row r="328" spans="1:7" ht="20.100000000000001" customHeight="1" x14ac:dyDescent="0.25">
      <c r="A328" s="124" t="s">
        <v>95</v>
      </c>
      <c r="B328" s="125" t="s">
        <v>96</v>
      </c>
      <c r="C328" s="121" t="s">
        <v>97</v>
      </c>
      <c r="D328" s="70">
        <v>4</v>
      </c>
      <c r="E328" s="121"/>
      <c r="F328" s="159"/>
      <c r="G328" s="56"/>
    </row>
    <row r="329" spans="1:7" ht="20.100000000000001" customHeight="1" x14ac:dyDescent="0.25">
      <c r="A329" s="124" t="s">
        <v>98</v>
      </c>
      <c r="B329" s="125" t="s">
        <v>99</v>
      </c>
      <c r="C329" s="121" t="s">
        <v>100</v>
      </c>
      <c r="D329" s="70">
        <v>4</v>
      </c>
      <c r="E329" s="121"/>
      <c r="F329" s="159"/>
      <c r="G329" s="56"/>
    </row>
    <row r="330" spans="1:7" ht="20.100000000000001" customHeight="1" x14ac:dyDescent="0.25">
      <c r="A330" s="124" t="s">
        <v>101</v>
      </c>
      <c r="B330" s="125" t="s">
        <v>102</v>
      </c>
      <c r="C330" s="121" t="s">
        <v>103</v>
      </c>
      <c r="D330" s="70">
        <v>4</v>
      </c>
      <c r="E330" s="121"/>
      <c r="F330" s="159"/>
      <c r="G330" s="56"/>
    </row>
    <row r="331" spans="1:7" ht="20.100000000000001" customHeight="1" x14ac:dyDescent="0.25">
      <c r="A331" s="124" t="s">
        <v>104</v>
      </c>
      <c r="B331" s="125" t="s">
        <v>105</v>
      </c>
      <c r="C331" s="121" t="s">
        <v>106</v>
      </c>
      <c r="D331" s="70">
        <v>1</v>
      </c>
      <c r="E331" s="121"/>
      <c r="F331" s="159"/>
      <c r="G331" s="56"/>
    </row>
    <row r="332" spans="1:7" ht="20.100000000000001" customHeight="1" x14ac:dyDescent="0.25">
      <c r="A332" s="124" t="s">
        <v>107</v>
      </c>
      <c r="B332" s="125" t="s">
        <v>108</v>
      </c>
      <c r="C332" s="121" t="s">
        <v>109</v>
      </c>
      <c r="D332" s="70">
        <v>1</v>
      </c>
      <c r="E332" s="121"/>
      <c r="F332" s="159"/>
      <c r="G332" s="56"/>
    </row>
    <row r="333" spans="1:7" ht="20.100000000000001" customHeight="1" x14ac:dyDescent="0.25">
      <c r="A333" s="124" t="s">
        <v>110</v>
      </c>
      <c r="B333" s="125" t="s">
        <v>111</v>
      </c>
      <c r="C333" s="121" t="s">
        <v>112</v>
      </c>
      <c r="D333" s="70">
        <v>1</v>
      </c>
      <c r="E333" s="121"/>
      <c r="F333" s="159"/>
      <c r="G333" s="56"/>
    </row>
    <row r="334" spans="1:7" ht="20.100000000000001" customHeight="1" x14ac:dyDescent="0.25">
      <c r="A334" s="124" t="s">
        <v>743</v>
      </c>
      <c r="B334" s="125" t="s">
        <v>744</v>
      </c>
      <c r="C334" s="121" t="s">
        <v>745</v>
      </c>
      <c r="D334" s="70">
        <v>1</v>
      </c>
      <c r="E334" s="121"/>
      <c r="F334" s="159"/>
      <c r="G334" s="56"/>
    </row>
    <row r="335" spans="1:7" ht="20.100000000000001" customHeight="1" x14ac:dyDescent="0.25">
      <c r="A335" s="124" t="s">
        <v>746</v>
      </c>
      <c r="B335" s="125" t="s">
        <v>747</v>
      </c>
      <c r="C335" s="121" t="s">
        <v>748</v>
      </c>
      <c r="D335" s="70">
        <v>1</v>
      </c>
      <c r="E335" s="121"/>
      <c r="F335" s="159"/>
      <c r="G335" s="56"/>
    </row>
    <row r="336" spans="1:7" ht="20.100000000000001" customHeight="1" x14ac:dyDescent="0.25">
      <c r="A336" s="124" t="s">
        <v>749</v>
      </c>
      <c r="B336" s="125">
        <v>190703541</v>
      </c>
      <c r="C336" s="121" t="s">
        <v>750</v>
      </c>
      <c r="D336" s="70">
        <v>1</v>
      </c>
      <c r="E336" s="121"/>
      <c r="F336" s="159"/>
      <c r="G336" s="56"/>
    </row>
    <row r="337" spans="1:7" ht="20.100000000000001" customHeight="1" x14ac:dyDescent="0.25">
      <c r="A337" s="124" t="s">
        <v>751</v>
      </c>
      <c r="B337" s="125">
        <v>190703540</v>
      </c>
      <c r="C337" s="121" t="s">
        <v>752</v>
      </c>
      <c r="D337" s="70">
        <v>2</v>
      </c>
      <c r="E337" s="121"/>
      <c r="F337" s="159"/>
      <c r="G337" s="56"/>
    </row>
    <row r="338" spans="1:7" ht="20.100000000000001" customHeight="1" x14ac:dyDescent="0.25">
      <c r="A338" s="124" t="s">
        <v>753</v>
      </c>
      <c r="B338" s="125">
        <v>190703539</v>
      </c>
      <c r="C338" s="121" t="s">
        <v>754</v>
      </c>
      <c r="D338" s="70">
        <v>2</v>
      </c>
      <c r="E338" s="121"/>
      <c r="F338" s="159"/>
      <c r="G338" s="56"/>
    </row>
    <row r="339" spans="1:7" ht="20.100000000000001" customHeight="1" x14ac:dyDescent="0.25">
      <c r="A339" s="124" t="s">
        <v>755</v>
      </c>
      <c r="B339" s="125">
        <v>190703538</v>
      </c>
      <c r="C339" s="121" t="s">
        <v>756</v>
      </c>
      <c r="D339" s="70">
        <v>3</v>
      </c>
      <c r="E339" s="121"/>
      <c r="F339" s="159"/>
      <c r="G339" s="56"/>
    </row>
    <row r="340" spans="1:7" ht="20.100000000000001" customHeight="1" x14ac:dyDescent="0.25">
      <c r="A340" s="124"/>
      <c r="B340" s="125"/>
      <c r="C340" s="121"/>
      <c r="D340" s="71">
        <f>SUM(D323:D339)</f>
        <v>45</v>
      </c>
      <c r="E340" s="121"/>
      <c r="F340" s="159"/>
      <c r="G340" s="56"/>
    </row>
    <row r="341" spans="1:7" ht="20.100000000000001" customHeight="1" x14ac:dyDescent="0.25">
      <c r="A341" s="124">
        <v>50102106</v>
      </c>
      <c r="B341" s="125">
        <v>190703564</v>
      </c>
      <c r="C341" s="121" t="s">
        <v>757</v>
      </c>
      <c r="D341" s="70">
        <v>4</v>
      </c>
      <c r="E341" s="121"/>
      <c r="F341" s="159"/>
      <c r="G341" s="56"/>
    </row>
    <row r="342" spans="1:7" ht="20.100000000000001" customHeight="1" x14ac:dyDescent="0.25">
      <c r="A342" s="124">
        <v>50102108</v>
      </c>
      <c r="B342" s="125">
        <v>190703563</v>
      </c>
      <c r="C342" s="121" t="s">
        <v>758</v>
      </c>
      <c r="D342" s="70">
        <v>4</v>
      </c>
      <c r="E342" s="121"/>
      <c r="F342" s="159"/>
      <c r="G342" s="56"/>
    </row>
    <row r="343" spans="1:7" ht="20.100000000000001" customHeight="1" x14ac:dyDescent="0.25">
      <c r="A343" s="124" t="s">
        <v>140</v>
      </c>
      <c r="B343" s="125">
        <v>2100022697</v>
      </c>
      <c r="C343" s="121" t="s">
        <v>141</v>
      </c>
      <c r="D343" s="70">
        <v>4</v>
      </c>
      <c r="E343" s="121"/>
      <c r="F343" s="159"/>
      <c r="G343" s="56"/>
    </row>
    <row r="344" spans="1:7" ht="20.100000000000001" customHeight="1" x14ac:dyDescent="0.25">
      <c r="A344" s="124" t="s">
        <v>142</v>
      </c>
      <c r="B344" s="125">
        <v>2100022698</v>
      </c>
      <c r="C344" s="121" t="s">
        <v>143</v>
      </c>
      <c r="D344" s="70">
        <v>4</v>
      </c>
      <c r="E344" s="121"/>
      <c r="F344" s="159"/>
      <c r="G344" s="56"/>
    </row>
    <row r="345" spans="1:7" ht="20.100000000000001" customHeight="1" x14ac:dyDescent="0.25">
      <c r="A345" s="124" t="s">
        <v>144</v>
      </c>
      <c r="B345" s="125">
        <v>2100028611</v>
      </c>
      <c r="C345" s="121" t="s">
        <v>145</v>
      </c>
      <c r="D345" s="70">
        <v>4</v>
      </c>
      <c r="E345" s="121"/>
      <c r="F345" s="159"/>
      <c r="G345" s="56"/>
    </row>
    <row r="346" spans="1:7" ht="20.100000000000001" customHeight="1" x14ac:dyDescent="0.25">
      <c r="A346" s="124" t="s">
        <v>146</v>
      </c>
      <c r="B346" s="125" t="s">
        <v>147</v>
      </c>
      <c r="C346" s="121" t="s">
        <v>148</v>
      </c>
      <c r="D346" s="70">
        <v>4</v>
      </c>
      <c r="E346" s="121"/>
      <c r="F346" s="159"/>
      <c r="G346" s="56"/>
    </row>
    <row r="347" spans="1:7" ht="20.100000000000001" customHeight="1" x14ac:dyDescent="0.25">
      <c r="A347" s="124" t="s">
        <v>149</v>
      </c>
      <c r="B347" s="125">
        <v>2100010645</v>
      </c>
      <c r="C347" s="121" t="s">
        <v>150</v>
      </c>
      <c r="D347" s="70">
        <v>4</v>
      </c>
      <c r="E347" s="121"/>
      <c r="F347" s="159"/>
      <c r="G347" s="56"/>
    </row>
    <row r="348" spans="1:7" ht="20.100000000000001" customHeight="1" x14ac:dyDescent="0.25">
      <c r="A348" s="124" t="s">
        <v>151</v>
      </c>
      <c r="B348" s="125">
        <v>2100007516</v>
      </c>
      <c r="C348" s="121" t="s">
        <v>152</v>
      </c>
      <c r="D348" s="70">
        <v>4</v>
      </c>
      <c r="E348" s="121"/>
      <c r="F348" s="159"/>
      <c r="G348" s="56"/>
    </row>
    <row r="349" spans="1:7" ht="20.100000000000001" customHeight="1" x14ac:dyDescent="0.25">
      <c r="A349" s="124" t="s">
        <v>153</v>
      </c>
      <c r="B349" s="125" t="s">
        <v>154</v>
      </c>
      <c r="C349" s="121" t="s">
        <v>155</v>
      </c>
      <c r="D349" s="70">
        <v>2</v>
      </c>
      <c r="E349" s="121"/>
      <c r="F349" s="159"/>
      <c r="G349" s="56"/>
    </row>
    <row r="350" spans="1:7" ht="20.100000000000001" customHeight="1" x14ac:dyDescent="0.25">
      <c r="A350" s="124" t="s">
        <v>156</v>
      </c>
      <c r="B350" s="125" t="s">
        <v>157</v>
      </c>
      <c r="C350" s="121" t="s">
        <v>158</v>
      </c>
      <c r="D350" s="70">
        <v>2</v>
      </c>
      <c r="E350" s="121"/>
      <c r="F350" s="159"/>
      <c r="G350" s="56"/>
    </row>
    <row r="351" spans="1:7" ht="20.100000000000001" customHeight="1" x14ac:dyDescent="0.25">
      <c r="A351" s="124" t="s">
        <v>159</v>
      </c>
      <c r="B351" s="125">
        <v>2100023365</v>
      </c>
      <c r="C351" s="121" t="s">
        <v>160</v>
      </c>
      <c r="D351" s="70">
        <v>2</v>
      </c>
      <c r="E351" s="121"/>
      <c r="F351" s="159"/>
      <c r="G351" s="56"/>
    </row>
    <row r="352" spans="1:7" ht="20.100000000000001" customHeight="1" x14ac:dyDescent="0.25">
      <c r="A352" s="124" t="s">
        <v>161</v>
      </c>
      <c r="B352" s="125" t="s">
        <v>759</v>
      </c>
      <c r="C352" s="121" t="s">
        <v>760</v>
      </c>
      <c r="D352" s="70">
        <v>2</v>
      </c>
      <c r="E352" s="121"/>
      <c r="F352" s="159"/>
      <c r="G352" s="56"/>
    </row>
    <row r="353" spans="1:7" ht="20.100000000000001" customHeight="1" x14ac:dyDescent="0.25">
      <c r="A353" s="124" t="s">
        <v>761</v>
      </c>
      <c r="B353" s="125" t="s">
        <v>762</v>
      </c>
      <c r="C353" s="121" t="s">
        <v>763</v>
      </c>
      <c r="D353" s="70">
        <v>2</v>
      </c>
      <c r="E353" s="121"/>
      <c r="F353" s="159"/>
      <c r="G353" s="56"/>
    </row>
    <row r="354" spans="1:7" ht="20.100000000000001" customHeight="1" x14ac:dyDescent="0.25">
      <c r="A354" s="124" t="s">
        <v>764</v>
      </c>
      <c r="B354" s="125" t="s">
        <v>765</v>
      </c>
      <c r="C354" s="121" t="s">
        <v>766</v>
      </c>
      <c r="D354" s="70">
        <v>3</v>
      </c>
      <c r="E354" s="121"/>
      <c r="F354" s="159"/>
      <c r="G354" s="56"/>
    </row>
    <row r="355" spans="1:7" ht="20.100000000000001" customHeight="1" x14ac:dyDescent="0.25">
      <c r="A355" s="124" t="s">
        <v>767</v>
      </c>
      <c r="B355" s="125" t="s">
        <v>768</v>
      </c>
      <c r="C355" s="121" t="s">
        <v>769</v>
      </c>
      <c r="D355" s="70">
        <v>1</v>
      </c>
      <c r="E355" s="121"/>
      <c r="F355" s="159"/>
      <c r="G355" s="56"/>
    </row>
    <row r="356" spans="1:7" ht="20.100000000000001" customHeight="1" x14ac:dyDescent="0.25">
      <c r="A356" s="124" t="s">
        <v>770</v>
      </c>
      <c r="B356" s="125" t="s">
        <v>771</v>
      </c>
      <c r="C356" s="121" t="s">
        <v>772</v>
      </c>
      <c r="D356" s="70">
        <v>1</v>
      </c>
      <c r="E356" s="121"/>
      <c r="F356" s="159"/>
      <c r="G356" s="56"/>
    </row>
    <row r="357" spans="1:7" ht="20.100000000000001" customHeight="1" x14ac:dyDescent="0.25">
      <c r="A357" s="124" t="s">
        <v>773</v>
      </c>
      <c r="B357" s="125" t="s">
        <v>774</v>
      </c>
      <c r="C357" s="121" t="s">
        <v>775</v>
      </c>
      <c r="D357" s="70">
        <v>1</v>
      </c>
      <c r="E357" s="121"/>
      <c r="F357" s="159"/>
      <c r="G357" s="56"/>
    </row>
    <row r="358" spans="1:7" ht="20.100000000000001" customHeight="1" x14ac:dyDescent="0.25">
      <c r="A358" s="149"/>
      <c r="B358" s="149"/>
      <c r="C358" s="149"/>
      <c r="D358" s="157"/>
      <c r="E358" s="158"/>
      <c r="F358" s="56"/>
      <c r="G358" s="56"/>
    </row>
    <row r="359" spans="1:7" ht="20.100000000000001" customHeight="1" x14ac:dyDescent="0.25">
      <c r="A359" s="77"/>
      <c r="B359" s="87"/>
      <c r="C359" s="88"/>
      <c r="D359" s="88"/>
      <c r="E359" s="56"/>
      <c r="F359" s="56"/>
      <c r="G359" s="56"/>
    </row>
    <row r="360" spans="1:7" ht="20.100000000000001" customHeight="1" x14ac:dyDescent="0.3">
      <c r="A360" s="77"/>
      <c r="B360" s="128"/>
      <c r="C360" s="129" t="s">
        <v>433</v>
      </c>
      <c r="D360" s="88"/>
      <c r="E360" s="56"/>
      <c r="F360" s="56"/>
      <c r="G360" s="56"/>
    </row>
    <row r="361" spans="1:7" ht="20.100000000000001" customHeight="1" x14ac:dyDescent="0.25">
      <c r="A361" s="77"/>
      <c r="B361" s="130" t="s">
        <v>434</v>
      </c>
      <c r="C361" s="131"/>
      <c r="D361" s="88"/>
      <c r="E361" s="56"/>
      <c r="F361" s="56"/>
      <c r="G361" s="56"/>
    </row>
    <row r="362" spans="1:7" ht="20.100000000000001" customHeight="1" x14ac:dyDescent="0.25">
      <c r="A362" s="77"/>
      <c r="B362" s="132" t="s">
        <v>13</v>
      </c>
      <c r="C362" s="132" t="s">
        <v>12</v>
      </c>
      <c r="D362" s="88"/>
      <c r="E362" s="56"/>
      <c r="F362" s="56"/>
      <c r="G362" s="56"/>
    </row>
    <row r="363" spans="1:7" ht="20.100000000000001" customHeight="1" x14ac:dyDescent="0.25">
      <c r="A363" s="77"/>
      <c r="B363" s="123">
        <v>2</v>
      </c>
      <c r="C363" s="133" t="s">
        <v>435</v>
      </c>
      <c r="D363" s="88"/>
      <c r="E363" s="56"/>
      <c r="F363" s="56"/>
      <c r="G363" s="56"/>
    </row>
    <row r="364" spans="1:7" ht="20.100000000000001" customHeight="1" x14ac:dyDescent="0.25">
      <c r="A364" s="77"/>
      <c r="B364" s="123">
        <v>1</v>
      </c>
      <c r="C364" s="133" t="s">
        <v>436</v>
      </c>
      <c r="D364" s="88"/>
      <c r="E364" s="56"/>
      <c r="F364" s="56"/>
      <c r="G364" s="56"/>
    </row>
    <row r="365" spans="1:7" ht="20.100000000000001" customHeight="1" x14ac:dyDescent="0.25">
      <c r="A365" s="77"/>
      <c r="B365" s="123">
        <v>1</v>
      </c>
      <c r="C365" s="133" t="s">
        <v>437</v>
      </c>
      <c r="D365" s="88"/>
      <c r="E365" s="56"/>
      <c r="F365" s="56"/>
      <c r="G365" s="56"/>
    </row>
    <row r="366" spans="1:7" ht="20.100000000000001" customHeight="1" x14ac:dyDescent="0.25">
      <c r="A366" s="77"/>
      <c r="B366" s="123">
        <v>1</v>
      </c>
      <c r="C366" s="133" t="s">
        <v>438</v>
      </c>
      <c r="D366" s="88"/>
      <c r="E366" s="56"/>
      <c r="F366" s="56"/>
      <c r="G366" s="56"/>
    </row>
    <row r="367" spans="1:7" ht="20.100000000000001" customHeight="1" x14ac:dyDescent="0.25">
      <c r="A367" s="77"/>
      <c r="B367" s="134">
        <v>2</v>
      </c>
      <c r="C367" s="133" t="s">
        <v>439</v>
      </c>
      <c r="D367" s="88"/>
      <c r="E367" s="56"/>
      <c r="F367" s="56"/>
      <c r="G367" s="56"/>
    </row>
    <row r="368" spans="1:7" ht="20.100000000000001" customHeight="1" x14ac:dyDescent="0.25">
      <c r="A368" s="77"/>
      <c r="B368" s="134">
        <v>4</v>
      </c>
      <c r="C368" s="133" t="s">
        <v>54</v>
      </c>
      <c r="D368" s="88"/>
      <c r="E368" s="56"/>
      <c r="F368" s="56"/>
      <c r="G368" s="56"/>
    </row>
    <row r="369" spans="1:7" ht="20.100000000000001" customHeight="1" x14ac:dyDescent="0.25">
      <c r="A369" s="77"/>
      <c r="B369" s="135">
        <f>SUM(B363:B368)</f>
        <v>11</v>
      </c>
      <c r="C369" s="133"/>
      <c r="D369" s="88"/>
      <c r="E369" s="56"/>
      <c r="F369" s="56"/>
      <c r="G369" s="56"/>
    </row>
    <row r="370" spans="1:7" ht="20.100000000000001" customHeight="1" x14ac:dyDescent="0.25">
      <c r="A370" s="77"/>
      <c r="B370" s="136"/>
      <c r="C370" s="137" t="s">
        <v>440</v>
      </c>
      <c r="D370" s="88"/>
      <c r="E370" s="56"/>
      <c r="F370" s="56"/>
      <c r="G370" s="56"/>
    </row>
    <row r="371" spans="1:7" ht="20.100000000000001" customHeight="1" x14ac:dyDescent="0.25">
      <c r="A371" s="77"/>
      <c r="B371" s="123">
        <v>2</v>
      </c>
      <c r="C371" s="133" t="s">
        <v>441</v>
      </c>
      <c r="D371" s="88"/>
      <c r="E371" s="56"/>
      <c r="F371" s="56"/>
      <c r="G371" s="56"/>
    </row>
    <row r="372" spans="1:7" ht="20.100000000000001" customHeight="1" x14ac:dyDescent="0.25">
      <c r="A372" s="77"/>
      <c r="B372" s="123">
        <v>1</v>
      </c>
      <c r="C372" s="133" t="s">
        <v>442</v>
      </c>
      <c r="D372" s="88"/>
      <c r="E372" s="56"/>
      <c r="F372" s="56"/>
      <c r="G372" s="56"/>
    </row>
    <row r="373" spans="1:7" ht="20.100000000000001" customHeight="1" x14ac:dyDescent="0.25">
      <c r="A373" s="77"/>
      <c r="B373" s="123">
        <v>1</v>
      </c>
      <c r="C373" s="133" t="s">
        <v>437</v>
      </c>
      <c r="D373" s="88"/>
      <c r="E373" s="56"/>
      <c r="F373" s="56"/>
      <c r="G373" s="56"/>
    </row>
    <row r="374" spans="1:7" ht="20.100000000000001" customHeight="1" x14ac:dyDescent="0.25">
      <c r="A374" s="77"/>
      <c r="B374" s="123">
        <v>1</v>
      </c>
      <c r="C374" s="133" t="s">
        <v>438</v>
      </c>
      <c r="D374" s="88"/>
      <c r="E374" s="56"/>
      <c r="F374" s="56"/>
      <c r="G374" s="56"/>
    </row>
    <row r="375" spans="1:7" ht="20.100000000000001" customHeight="1" x14ac:dyDescent="0.25">
      <c r="A375" s="77"/>
      <c r="B375" s="134">
        <v>2</v>
      </c>
      <c r="C375" s="133" t="s">
        <v>443</v>
      </c>
      <c r="D375" s="88"/>
      <c r="E375" s="56"/>
      <c r="F375" s="56"/>
      <c r="G375" s="56"/>
    </row>
    <row r="376" spans="1:7" ht="20.100000000000001" customHeight="1" x14ac:dyDescent="0.25">
      <c r="A376" s="77"/>
      <c r="B376" s="135">
        <f>SUM(B371:B375)</f>
        <v>7</v>
      </c>
      <c r="C376" s="135"/>
      <c r="D376" s="88"/>
      <c r="E376" s="56"/>
      <c r="F376" s="56"/>
      <c r="G376" s="56"/>
    </row>
    <row r="377" spans="1:7" ht="20.100000000000001" customHeight="1" x14ac:dyDescent="0.25">
      <c r="A377" s="77"/>
      <c r="B377" s="138"/>
      <c r="C377" s="138"/>
      <c r="D377" s="88"/>
      <c r="E377" s="56"/>
      <c r="F377" s="56"/>
      <c r="G377" s="56"/>
    </row>
    <row r="378" spans="1:7" ht="20.100000000000001" customHeight="1" x14ac:dyDescent="0.25">
      <c r="A378" s="77"/>
      <c r="B378" s="139"/>
      <c r="C378" s="137" t="s">
        <v>444</v>
      </c>
      <c r="D378" s="88"/>
      <c r="E378" s="56"/>
      <c r="F378" s="56"/>
      <c r="G378" s="56"/>
    </row>
    <row r="379" spans="1:7" ht="20.100000000000001" customHeight="1" x14ac:dyDescent="0.25">
      <c r="A379" s="77"/>
      <c r="B379" s="132" t="s">
        <v>13</v>
      </c>
      <c r="C379" s="132" t="s">
        <v>12</v>
      </c>
      <c r="D379" s="88"/>
      <c r="E379" s="56"/>
      <c r="F379" s="56"/>
      <c r="G379" s="56"/>
    </row>
    <row r="380" spans="1:7" ht="20.100000000000001" customHeight="1" x14ac:dyDescent="0.25">
      <c r="A380" s="77"/>
      <c r="B380" s="123">
        <v>1</v>
      </c>
      <c r="C380" s="133" t="s">
        <v>445</v>
      </c>
      <c r="D380" s="88"/>
      <c r="E380" s="56"/>
      <c r="F380" s="56"/>
      <c r="G380" s="56"/>
    </row>
    <row r="381" spans="1:7" ht="20.100000000000001" customHeight="1" x14ac:dyDescent="0.25">
      <c r="A381" s="77"/>
      <c r="B381" s="123">
        <v>1</v>
      </c>
      <c r="C381" s="133" t="s">
        <v>446</v>
      </c>
      <c r="D381" s="88"/>
      <c r="E381" s="56"/>
      <c r="F381" s="56"/>
      <c r="G381" s="56"/>
    </row>
    <row r="382" spans="1:7" ht="20.100000000000001" customHeight="1" x14ac:dyDescent="0.25">
      <c r="A382" s="77"/>
      <c r="B382" s="123">
        <v>2</v>
      </c>
      <c r="C382" s="133" t="s">
        <v>447</v>
      </c>
      <c r="D382" s="88"/>
      <c r="E382" s="56"/>
      <c r="F382" s="56"/>
      <c r="G382" s="56"/>
    </row>
    <row r="383" spans="1:7" ht="20.100000000000001" customHeight="1" x14ac:dyDescent="0.25">
      <c r="A383" s="77"/>
      <c r="B383" s="123">
        <v>2</v>
      </c>
      <c r="C383" s="133" t="s">
        <v>181</v>
      </c>
      <c r="D383" s="88"/>
      <c r="E383" s="56"/>
      <c r="F383" s="56"/>
      <c r="G383" s="56"/>
    </row>
    <row r="384" spans="1:7" ht="20.100000000000001" customHeight="1" x14ac:dyDescent="0.25">
      <c r="A384" s="77"/>
      <c r="B384" s="123">
        <v>1</v>
      </c>
      <c r="C384" s="133" t="s">
        <v>448</v>
      </c>
      <c r="D384" s="88"/>
      <c r="E384" s="56"/>
      <c r="F384" s="56"/>
      <c r="G384" s="56"/>
    </row>
    <row r="385" spans="1:7" ht="20.100000000000001" customHeight="1" x14ac:dyDescent="0.25">
      <c r="A385" s="77"/>
      <c r="B385" s="123">
        <v>1</v>
      </c>
      <c r="C385" s="133" t="s">
        <v>449</v>
      </c>
      <c r="D385" s="88"/>
      <c r="E385" s="56"/>
      <c r="F385" s="56"/>
      <c r="G385" s="56"/>
    </row>
    <row r="386" spans="1:7" ht="20.100000000000001" customHeight="1" x14ac:dyDescent="0.25">
      <c r="A386" s="77"/>
      <c r="B386" s="123">
        <v>1</v>
      </c>
      <c r="C386" s="140" t="s">
        <v>450</v>
      </c>
      <c r="D386" s="88"/>
      <c r="E386" s="56"/>
      <c r="F386" s="56"/>
      <c r="G386" s="56"/>
    </row>
    <row r="387" spans="1:7" ht="20.100000000000001" customHeight="1" x14ac:dyDescent="0.25">
      <c r="A387" s="77"/>
      <c r="B387" s="123">
        <v>1</v>
      </c>
      <c r="C387" s="140" t="s">
        <v>451</v>
      </c>
      <c r="D387" s="88"/>
      <c r="E387" s="56"/>
      <c r="F387" s="56"/>
      <c r="G387" s="56"/>
    </row>
    <row r="388" spans="1:7" ht="20.100000000000001" customHeight="1" x14ac:dyDescent="0.25">
      <c r="A388" s="77"/>
      <c r="B388" s="123">
        <v>1</v>
      </c>
      <c r="C388" s="140" t="s">
        <v>452</v>
      </c>
      <c r="D388" s="88"/>
      <c r="E388" s="56"/>
      <c r="F388" s="56"/>
      <c r="G388" s="56"/>
    </row>
    <row r="389" spans="1:7" ht="20.100000000000001" customHeight="1" x14ac:dyDescent="0.25">
      <c r="A389" s="77"/>
      <c r="B389" s="123">
        <v>3</v>
      </c>
      <c r="C389" s="140" t="s">
        <v>453</v>
      </c>
      <c r="D389" s="88"/>
      <c r="E389" s="56"/>
      <c r="F389" s="56"/>
      <c r="G389" s="56"/>
    </row>
    <row r="390" spans="1:7" ht="20.100000000000001" customHeight="1" x14ac:dyDescent="0.25">
      <c r="A390" s="77"/>
      <c r="B390" s="123">
        <v>2</v>
      </c>
      <c r="C390" s="140" t="s">
        <v>454</v>
      </c>
      <c r="D390" s="88"/>
      <c r="E390" s="56"/>
      <c r="F390" s="56"/>
      <c r="G390" s="56"/>
    </row>
    <row r="391" spans="1:7" ht="20.100000000000001" customHeight="1" x14ac:dyDescent="0.25">
      <c r="A391" s="77"/>
      <c r="B391" s="74">
        <f>SUM(B380:B390)</f>
        <v>16</v>
      </c>
      <c r="C391" s="74"/>
      <c r="D391" s="88"/>
      <c r="E391" s="56"/>
      <c r="F391" s="56"/>
      <c r="G391" s="56"/>
    </row>
    <row r="392" spans="1:7" ht="20.100000000000001" customHeight="1" x14ac:dyDescent="0.25">
      <c r="A392" s="77"/>
      <c r="B392" s="141"/>
      <c r="C392" s="142"/>
      <c r="D392" s="88"/>
      <c r="E392" s="56"/>
      <c r="F392" s="56"/>
      <c r="G392" s="56"/>
    </row>
    <row r="393" spans="1:7" ht="20.100000000000001" customHeight="1" x14ac:dyDescent="0.25">
      <c r="A393" s="77"/>
      <c r="B393" s="139"/>
      <c r="C393" s="137" t="s">
        <v>455</v>
      </c>
      <c r="D393" s="88"/>
      <c r="E393" s="56"/>
      <c r="F393" s="56"/>
      <c r="G393" s="56"/>
    </row>
    <row r="394" spans="1:7" ht="20.100000000000001" customHeight="1" x14ac:dyDescent="0.25">
      <c r="A394" s="77"/>
      <c r="B394" s="143">
        <v>2</v>
      </c>
      <c r="C394" s="144" t="s">
        <v>456</v>
      </c>
      <c r="D394" s="88"/>
      <c r="E394" s="56"/>
      <c r="F394" s="56"/>
      <c r="G394" s="56"/>
    </row>
    <row r="395" spans="1:7" ht="20.100000000000001" customHeight="1" x14ac:dyDescent="0.25">
      <c r="A395" s="77"/>
      <c r="B395" s="143">
        <v>2</v>
      </c>
      <c r="C395" s="144" t="s">
        <v>457</v>
      </c>
      <c r="D395" s="88"/>
      <c r="E395" s="56"/>
      <c r="F395" s="56"/>
      <c r="G395" s="56"/>
    </row>
    <row r="396" spans="1:7" ht="20.100000000000001" customHeight="1" x14ac:dyDescent="0.25">
      <c r="A396" s="77"/>
      <c r="B396" s="143">
        <v>1</v>
      </c>
      <c r="C396" s="144" t="s">
        <v>458</v>
      </c>
      <c r="D396" s="88"/>
      <c r="E396" s="56"/>
      <c r="F396" s="56"/>
      <c r="G396" s="56"/>
    </row>
    <row r="397" spans="1:7" ht="20.100000000000001" customHeight="1" x14ac:dyDescent="0.25">
      <c r="A397" s="77"/>
      <c r="B397" s="145">
        <v>2</v>
      </c>
      <c r="C397" s="146" t="s">
        <v>459</v>
      </c>
      <c r="D397" s="88"/>
      <c r="E397" s="56"/>
      <c r="F397" s="56"/>
      <c r="G397" s="56"/>
    </row>
    <row r="398" spans="1:7" ht="20.100000000000001" customHeight="1" x14ac:dyDescent="0.25">
      <c r="A398" s="77"/>
      <c r="B398" s="145">
        <v>1</v>
      </c>
      <c r="C398" s="146" t="s">
        <v>460</v>
      </c>
      <c r="D398" s="88"/>
      <c r="E398" s="56"/>
      <c r="F398" s="56"/>
      <c r="G398" s="56"/>
    </row>
    <row r="399" spans="1:7" ht="20.100000000000001" customHeight="1" x14ac:dyDescent="0.25">
      <c r="A399" s="77"/>
      <c r="B399" s="145">
        <v>1</v>
      </c>
      <c r="C399" s="146" t="s">
        <v>180</v>
      </c>
      <c r="D399" s="88"/>
      <c r="E399" s="56"/>
      <c r="F399" s="56"/>
      <c r="G399" s="56"/>
    </row>
    <row r="400" spans="1:7" ht="20.100000000000001" customHeight="1" x14ac:dyDescent="0.25">
      <c r="A400" s="77"/>
      <c r="B400" s="145">
        <v>1</v>
      </c>
      <c r="C400" s="146" t="s">
        <v>461</v>
      </c>
      <c r="D400" s="88"/>
      <c r="E400" s="56"/>
      <c r="F400" s="56"/>
      <c r="G400" s="56"/>
    </row>
    <row r="401" spans="1:7" ht="20.100000000000001" customHeight="1" x14ac:dyDescent="0.25">
      <c r="A401" s="77"/>
      <c r="B401" s="145">
        <v>1</v>
      </c>
      <c r="C401" s="146" t="s">
        <v>462</v>
      </c>
      <c r="D401" s="88"/>
      <c r="E401" s="56"/>
      <c r="F401" s="56"/>
      <c r="G401" s="56"/>
    </row>
    <row r="402" spans="1:7" ht="20.100000000000001" customHeight="1" x14ac:dyDescent="0.25">
      <c r="A402" s="77"/>
      <c r="B402" s="145">
        <v>1</v>
      </c>
      <c r="C402" s="146" t="s">
        <v>463</v>
      </c>
      <c r="D402" s="88"/>
      <c r="E402" s="56"/>
      <c r="F402" s="56"/>
      <c r="G402" s="56"/>
    </row>
    <row r="403" spans="1:7" ht="20.100000000000001" customHeight="1" x14ac:dyDescent="0.25">
      <c r="A403" s="77"/>
      <c r="B403" s="145">
        <v>1</v>
      </c>
      <c r="C403" s="146" t="s">
        <v>464</v>
      </c>
      <c r="D403" s="88"/>
      <c r="E403" s="56"/>
      <c r="F403" s="56"/>
      <c r="G403" s="56"/>
    </row>
    <row r="404" spans="1:7" ht="20.100000000000001" customHeight="1" x14ac:dyDescent="0.25">
      <c r="A404" s="77"/>
      <c r="B404" s="145">
        <v>1</v>
      </c>
      <c r="C404" s="146" t="s">
        <v>465</v>
      </c>
      <c r="D404" s="88"/>
      <c r="E404" s="56"/>
      <c r="F404" s="56"/>
      <c r="G404" s="56"/>
    </row>
    <row r="405" spans="1:7" ht="20.100000000000001" customHeight="1" x14ac:dyDescent="0.25">
      <c r="A405" s="77"/>
      <c r="B405" s="145">
        <v>1</v>
      </c>
      <c r="C405" s="146" t="s">
        <v>466</v>
      </c>
      <c r="D405" s="88"/>
      <c r="E405" s="56"/>
      <c r="F405" s="56"/>
      <c r="G405" s="56"/>
    </row>
    <row r="406" spans="1:7" ht="20.100000000000001" customHeight="1" x14ac:dyDescent="0.25">
      <c r="A406" s="77"/>
      <c r="B406" s="145">
        <v>1</v>
      </c>
      <c r="C406" s="146" t="s">
        <v>467</v>
      </c>
      <c r="D406" s="88"/>
      <c r="E406" s="56"/>
      <c r="F406" s="56"/>
      <c r="G406" s="56"/>
    </row>
    <row r="407" spans="1:7" ht="20.100000000000001" customHeight="1" x14ac:dyDescent="0.25">
      <c r="A407" s="77"/>
      <c r="B407" s="145">
        <v>2</v>
      </c>
      <c r="C407" s="146" t="s">
        <v>468</v>
      </c>
      <c r="D407" s="88"/>
      <c r="E407" s="56"/>
      <c r="F407" s="56"/>
      <c r="G407" s="56"/>
    </row>
    <row r="408" spans="1:7" ht="20.100000000000001" customHeight="1" x14ac:dyDescent="0.25">
      <c r="A408" s="77"/>
      <c r="B408" s="145">
        <v>1</v>
      </c>
      <c r="C408" s="146" t="s">
        <v>469</v>
      </c>
      <c r="D408" s="88"/>
      <c r="E408" s="56"/>
      <c r="F408" s="56"/>
      <c r="G408" s="56"/>
    </row>
    <row r="409" spans="1:7" ht="20.100000000000001" customHeight="1" x14ac:dyDescent="0.25">
      <c r="A409" s="77"/>
      <c r="B409" s="145">
        <v>1</v>
      </c>
      <c r="C409" s="146" t="s">
        <v>55</v>
      </c>
      <c r="D409" s="88"/>
      <c r="E409" s="56"/>
      <c r="F409" s="56"/>
      <c r="G409" s="56"/>
    </row>
    <row r="410" spans="1:7" ht="20.100000000000001" customHeight="1" x14ac:dyDescent="0.25">
      <c r="A410" s="77"/>
      <c r="B410" s="145">
        <v>1</v>
      </c>
      <c r="C410" s="146" t="s">
        <v>470</v>
      </c>
      <c r="D410" s="88"/>
      <c r="E410" s="56"/>
      <c r="F410" s="56"/>
      <c r="G410" s="56"/>
    </row>
    <row r="411" spans="1:7" ht="20.100000000000001" customHeight="1" x14ac:dyDescent="0.25">
      <c r="A411" s="77"/>
      <c r="B411" s="145">
        <v>2</v>
      </c>
      <c r="C411" s="146" t="s">
        <v>471</v>
      </c>
      <c r="D411" s="88"/>
      <c r="E411" s="56"/>
      <c r="F411" s="56"/>
      <c r="G411" s="56"/>
    </row>
    <row r="412" spans="1:7" ht="20.100000000000001" customHeight="1" x14ac:dyDescent="0.25">
      <c r="A412" s="77"/>
      <c r="B412" s="147">
        <f>SUM(B394:B411)</f>
        <v>23</v>
      </c>
      <c r="C412" s="146"/>
      <c r="D412" s="88"/>
      <c r="E412" s="56"/>
      <c r="F412" s="56"/>
      <c r="G412" s="56"/>
    </row>
    <row r="413" spans="1:7" ht="20.100000000000001" customHeight="1" x14ac:dyDescent="0.25">
      <c r="A413" s="77"/>
      <c r="B413" s="156"/>
      <c r="C413" s="150" t="s">
        <v>475</v>
      </c>
      <c r="D413" s="88"/>
      <c r="E413" s="56"/>
      <c r="F413" s="56"/>
      <c r="G413" s="56"/>
    </row>
    <row r="414" spans="1:7" ht="20.100000000000001" customHeight="1" x14ac:dyDescent="0.25">
      <c r="A414" s="77"/>
      <c r="B414" s="74" t="s">
        <v>25</v>
      </c>
      <c r="C414" s="74" t="s">
        <v>476</v>
      </c>
      <c r="D414" s="88"/>
      <c r="E414" s="56"/>
      <c r="F414" s="56"/>
      <c r="G414" s="56"/>
    </row>
    <row r="415" spans="1:7" ht="20.100000000000001" customHeight="1" x14ac:dyDescent="0.25">
      <c r="A415" s="77"/>
      <c r="B415" s="152">
        <v>2</v>
      </c>
      <c r="C415" s="151" t="s">
        <v>456</v>
      </c>
      <c r="D415" s="88"/>
      <c r="E415" s="56"/>
      <c r="F415" s="56"/>
      <c r="G415" s="56"/>
    </row>
    <row r="416" spans="1:7" ht="20.100000000000001" customHeight="1" x14ac:dyDescent="0.25">
      <c r="A416" s="77"/>
      <c r="B416" s="152">
        <v>2</v>
      </c>
      <c r="C416" s="151" t="s">
        <v>457</v>
      </c>
      <c r="D416" s="88"/>
      <c r="E416" s="56"/>
      <c r="F416" s="56"/>
      <c r="G416" s="56"/>
    </row>
    <row r="417" spans="1:7" ht="20.100000000000001" customHeight="1" x14ac:dyDescent="0.25">
      <c r="A417" s="77"/>
      <c r="B417" s="152">
        <v>1</v>
      </c>
      <c r="C417" s="151" t="s">
        <v>458</v>
      </c>
      <c r="D417" s="88"/>
      <c r="E417" s="56"/>
      <c r="F417" s="56"/>
      <c r="G417" s="56"/>
    </row>
    <row r="418" spans="1:7" ht="20.100000000000001" customHeight="1" x14ac:dyDescent="0.25">
      <c r="A418" s="77"/>
      <c r="B418" s="153">
        <v>2</v>
      </c>
      <c r="C418" s="154" t="s">
        <v>459</v>
      </c>
      <c r="D418" s="88"/>
      <c r="E418" s="56"/>
      <c r="F418" s="56"/>
      <c r="G418" s="56"/>
    </row>
    <row r="419" spans="1:7" ht="20.100000000000001" customHeight="1" x14ac:dyDescent="0.25">
      <c r="A419" s="77"/>
      <c r="B419" s="153">
        <v>2</v>
      </c>
      <c r="C419" s="154" t="s">
        <v>477</v>
      </c>
      <c r="D419" s="88"/>
      <c r="E419" s="56"/>
      <c r="F419" s="56"/>
      <c r="G419" s="56"/>
    </row>
    <row r="420" spans="1:7" ht="20.100000000000001" customHeight="1" x14ac:dyDescent="0.25">
      <c r="A420" s="77"/>
      <c r="B420" s="153">
        <v>1</v>
      </c>
      <c r="C420" s="154" t="s">
        <v>461</v>
      </c>
      <c r="D420" s="88"/>
      <c r="E420" s="56"/>
      <c r="F420" s="56"/>
      <c r="G420" s="56"/>
    </row>
    <row r="421" spans="1:7" ht="20.100000000000001" customHeight="1" x14ac:dyDescent="0.25">
      <c r="A421" s="77"/>
      <c r="B421" s="153">
        <v>1</v>
      </c>
      <c r="C421" s="154" t="s">
        <v>462</v>
      </c>
      <c r="D421" s="88"/>
      <c r="E421" s="56"/>
      <c r="F421" s="56"/>
      <c r="G421" s="56"/>
    </row>
    <row r="422" spans="1:7" ht="20.100000000000001" customHeight="1" x14ac:dyDescent="0.25">
      <c r="A422" s="77"/>
      <c r="B422" s="153">
        <v>1</v>
      </c>
      <c r="C422" s="154" t="s">
        <v>463</v>
      </c>
      <c r="D422" s="88"/>
      <c r="E422" s="56"/>
      <c r="F422" s="56"/>
      <c r="G422" s="56"/>
    </row>
    <row r="423" spans="1:7" ht="20.100000000000001" customHeight="1" x14ac:dyDescent="0.25">
      <c r="A423" s="77"/>
      <c r="B423" s="153">
        <v>1</v>
      </c>
      <c r="C423" s="154" t="s">
        <v>464</v>
      </c>
      <c r="D423" s="88"/>
      <c r="E423" s="56"/>
      <c r="F423" s="56"/>
      <c r="G423" s="56"/>
    </row>
    <row r="424" spans="1:7" ht="20.100000000000001" customHeight="1" x14ac:dyDescent="0.25">
      <c r="A424" s="77"/>
      <c r="B424" s="153">
        <v>1</v>
      </c>
      <c r="C424" s="154" t="s">
        <v>465</v>
      </c>
      <c r="D424" s="88"/>
      <c r="E424" s="56"/>
      <c r="F424" s="56"/>
      <c r="G424" s="56"/>
    </row>
    <row r="425" spans="1:7" ht="20.100000000000001" customHeight="1" x14ac:dyDescent="0.25">
      <c r="A425" s="77"/>
      <c r="B425" s="153">
        <v>1</v>
      </c>
      <c r="C425" s="154" t="s">
        <v>466</v>
      </c>
      <c r="D425" s="88"/>
      <c r="E425" s="56"/>
      <c r="F425" s="56"/>
      <c r="G425" s="56"/>
    </row>
    <row r="426" spans="1:7" ht="20.100000000000001" customHeight="1" x14ac:dyDescent="0.25">
      <c r="A426" s="77"/>
      <c r="B426" s="153">
        <v>1</v>
      </c>
      <c r="C426" s="154" t="s">
        <v>467</v>
      </c>
      <c r="D426" s="88"/>
      <c r="E426" s="56"/>
      <c r="F426" s="56"/>
      <c r="G426" s="56"/>
    </row>
    <row r="427" spans="1:7" ht="20.100000000000001" customHeight="1" x14ac:dyDescent="0.25">
      <c r="A427" s="77"/>
      <c r="B427" s="153">
        <v>1</v>
      </c>
      <c r="C427" s="154" t="s">
        <v>468</v>
      </c>
      <c r="D427" s="88"/>
      <c r="E427" s="56"/>
      <c r="F427" s="56"/>
      <c r="G427" s="56"/>
    </row>
    <row r="428" spans="1:7" ht="20.100000000000001" customHeight="1" x14ac:dyDescent="0.25">
      <c r="A428" s="77"/>
      <c r="B428" s="153">
        <v>1</v>
      </c>
      <c r="C428" s="154" t="s">
        <v>469</v>
      </c>
      <c r="D428" s="88"/>
      <c r="E428" s="56"/>
      <c r="F428" s="56"/>
      <c r="G428" s="56"/>
    </row>
    <row r="429" spans="1:7" ht="20.100000000000001" customHeight="1" x14ac:dyDescent="0.25">
      <c r="A429" s="77"/>
      <c r="B429" s="153">
        <v>1</v>
      </c>
      <c r="C429" s="154" t="s">
        <v>55</v>
      </c>
      <c r="D429" s="88"/>
      <c r="E429" s="56"/>
      <c r="F429" s="56"/>
      <c r="G429" s="56"/>
    </row>
    <row r="430" spans="1:7" ht="20.100000000000001" customHeight="1" x14ac:dyDescent="0.25">
      <c r="A430" s="77"/>
      <c r="B430" s="153">
        <v>1</v>
      </c>
      <c r="C430" s="154" t="s">
        <v>470</v>
      </c>
      <c r="D430" s="88"/>
      <c r="E430" s="56"/>
      <c r="F430" s="56"/>
      <c r="G430" s="56"/>
    </row>
    <row r="431" spans="1:7" ht="20.100000000000001" customHeight="1" x14ac:dyDescent="0.25">
      <c r="A431" s="77"/>
      <c r="B431" s="153">
        <v>2</v>
      </c>
      <c r="C431" s="154" t="s">
        <v>471</v>
      </c>
      <c r="D431" s="88"/>
      <c r="E431" s="56"/>
      <c r="F431" s="56"/>
      <c r="G431" s="56"/>
    </row>
    <row r="432" spans="1:7" ht="20.100000000000001" customHeight="1" x14ac:dyDescent="0.25">
      <c r="A432" s="77"/>
      <c r="B432" s="155">
        <v>22</v>
      </c>
      <c r="C432" s="154"/>
      <c r="D432" s="88"/>
      <c r="E432" s="56"/>
      <c r="F432" s="56"/>
      <c r="G432" s="56"/>
    </row>
    <row r="433" spans="1:7" ht="20.100000000000001" customHeight="1" x14ac:dyDescent="0.25">
      <c r="A433" s="77"/>
      <c r="B433" s="87"/>
      <c r="C433" s="88"/>
      <c r="D433" s="88"/>
      <c r="E433" s="56"/>
      <c r="F433" s="56"/>
      <c r="G433" s="56"/>
    </row>
    <row r="434" spans="1:7" ht="20.100000000000001" customHeight="1" x14ac:dyDescent="0.25">
      <c r="A434" s="77"/>
      <c r="B434" s="160"/>
      <c r="C434" s="161" t="s">
        <v>776</v>
      </c>
      <c r="D434" s="88"/>
      <c r="E434" s="56"/>
      <c r="F434" s="56"/>
      <c r="G434" s="56"/>
    </row>
    <row r="435" spans="1:7" ht="20.100000000000001" customHeight="1" x14ac:dyDescent="0.25">
      <c r="A435" s="77"/>
      <c r="B435" s="162" t="s">
        <v>25</v>
      </c>
      <c r="C435" s="162" t="s">
        <v>476</v>
      </c>
      <c r="D435" s="88"/>
      <c r="E435" s="56"/>
      <c r="F435" s="56"/>
      <c r="G435" s="56"/>
    </row>
    <row r="436" spans="1:7" ht="20.100000000000001" customHeight="1" x14ac:dyDescent="0.25">
      <c r="A436" s="77"/>
      <c r="B436" s="160"/>
      <c r="C436" s="162" t="s">
        <v>777</v>
      </c>
      <c r="D436" s="88"/>
      <c r="E436" s="56"/>
      <c r="F436" s="56"/>
      <c r="G436" s="56"/>
    </row>
    <row r="437" spans="1:7" ht="20.100000000000001" customHeight="1" x14ac:dyDescent="0.25">
      <c r="A437" s="77"/>
      <c r="B437" s="127">
        <v>2</v>
      </c>
      <c r="C437" s="73" t="s">
        <v>778</v>
      </c>
      <c r="D437" s="88"/>
      <c r="E437" s="56"/>
      <c r="F437" s="56"/>
      <c r="G437" s="56"/>
    </row>
    <row r="438" spans="1:7" ht="20.100000000000001" customHeight="1" x14ac:dyDescent="0.25">
      <c r="A438" s="77"/>
      <c r="B438" s="127">
        <v>2</v>
      </c>
      <c r="C438" s="73" t="s">
        <v>779</v>
      </c>
      <c r="D438" s="88"/>
      <c r="E438" s="56"/>
      <c r="F438" s="56"/>
      <c r="G438" s="56"/>
    </row>
    <row r="439" spans="1:7" ht="20.100000000000001" customHeight="1" x14ac:dyDescent="0.25">
      <c r="A439" s="77"/>
      <c r="B439" s="127">
        <v>2</v>
      </c>
      <c r="C439" s="73" t="s">
        <v>780</v>
      </c>
      <c r="D439" s="88"/>
      <c r="E439" s="56"/>
      <c r="F439" s="56"/>
      <c r="G439" s="56"/>
    </row>
    <row r="440" spans="1:7" ht="20.100000000000001" customHeight="1" x14ac:dyDescent="0.25">
      <c r="A440" s="77"/>
      <c r="B440" s="127">
        <v>2</v>
      </c>
      <c r="C440" s="73" t="s">
        <v>781</v>
      </c>
      <c r="D440" s="88"/>
      <c r="E440" s="56"/>
      <c r="F440" s="56"/>
      <c r="G440" s="56"/>
    </row>
    <row r="441" spans="1:7" ht="20.100000000000001" customHeight="1" x14ac:dyDescent="0.25">
      <c r="A441" s="77"/>
      <c r="B441" s="127">
        <v>9</v>
      </c>
      <c r="C441" s="73" t="s">
        <v>782</v>
      </c>
      <c r="D441" s="88"/>
      <c r="E441" s="56"/>
      <c r="F441" s="56"/>
      <c r="G441" s="56"/>
    </row>
    <row r="442" spans="1:7" ht="20.100000000000001" customHeight="1" x14ac:dyDescent="0.25">
      <c r="A442" s="77"/>
      <c r="B442" s="160"/>
      <c r="C442" s="162" t="s">
        <v>783</v>
      </c>
      <c r="D442" s="88"/>
      <c r="E442" s="56"/>
      <c r="F442" s="56"/>
      <c r="G442" s="56"/>
    </row>
    <row r="443" spans="1:7" ht="20.100000000000001" customHeight="1" x14ac:dyDescent="0.25">
      <c r="A443" s="77"/>
      <c r="B443" s="127">
        <v>4</v>
      </c>
      <c r="C443" s="73" t="s">
        <v>784</v>
      </c>
      <c r="D443" s="88"/>
      <c r="E443" s="56"/>
      <c r="F443" s="56"/>
      <c r="G443" s="56"/>
    </row>
    <row r="444" spans="1:7" ht="20.100000000000001" customHeight="1" x14ac:dyDescent="0.25">
      <c r="A444" s="77"/>
      <c r="B444" s="127">
        <v>2</v>
      </c>
      <c r="C444" s="73" t="s">
        <v>785</v>
      </c>
      <c r="D444" s="88"/>
      <c r="E444" s="56"/>
      <c r="F444" s="56"/>
      <c r="G444" s="56"/>
    </row>
    <row r="445" spans="1:7" ht="20.100000000000001" customHeight="1" x14ac:dyDescent="0.25">
      <c r="A445" s="77"/>
      <c r="B445" s="127">
        <v>1</v>
      </c>
      <c r="C445" s="73" t="s">
        <v>780</v>
      </c>
      <c r="D445" s="88"/>
      <c r="E445" s="56"/>
      <c r="F445" s="56"/>
      <c r="G445" s="56"/>
    </row>
    <row r="446" spans="1:7" ht="20.100000000000001" customHeight="1" x14ac:dyDescent="0.25">
      <c r="A446" s="77"/>
      <c r="B446" s="127">
        <v>1</v>
      </c>
      <c r="C446" s="73" t="s">
        <v>781</v>
      </c>
      <c r="D446" s="88"/>
      <c r="E446" s="56"/>
      <c r="F446" s="56"/>
      <c r="G446" s="56"/>
    </row>
    <row r="447" spans="1:7" ht="20.100000000000001" customHeight="1" x14ac:dyDescent="0.25">
      <c r="A447" s="77"/>
      <c r="B447" s="127">
        <v>2</v>
      </c>
      <c r="C447" s="73" t="s">
        <v>782</v>
      </c>
      <c r="D447" s="88"/>
      <c r="E447" s="56"/>
      <c r="F447" s="56"/>
      <c r="G447" s="56"/>
    </row>
    <row r="448" spans="1:7" ht="20.100000000000001" customHeight="1" x14ac:dyDescent="0.25">
      <c r="A448" s="77"/>
      <c r="B448" s="160"/>
      <c r="C448" s="162" t="s">
        <v>786</v>
      </c>
      <c r="D448" s="88"/>
      <c r="E448" s="56"/>
      <c r="F448" s="56"/>
      <c r="G448" s="56"/>
    </row>
    <row r="449" spans="1:7" ht="20.100000000000001" customHeight="1" x14ac:dyDescent="0.25">
      <c r="A449" s="77"/>
      <c r="B449" s="127">
        <v>2</v>
      </c>
      <c r="C449" s="73" t="s">
        <v>787</v>
      </c>
      <c r="D449" s="88"/>
      <c r="E449" s="56"/>
      <c r="F449" s="56"/>
      <c r="G449" s="56"/>
    </row>
    <row r="450" spans="1:7" ht="20.100000000000001" customHeight="1" x14ac:dyDescent="0.25">
      <c r="A450" s="77"/>
      <c r="B450" s="127">
        <v>1</v>
      </c>
      <c r="C450" s="73" t="s">
        <v>785</v>
      </c>
      <c r="D450" s="88"/>
      <c r="E450" s="56"/>
      <c r="F450" s="56"/>
      <c r="G450" s="56"/>
    </row>
    <row r="451" spans="1:7" ht="20.100000000000001" customHeight="1" x14ac:dyDescent="0.25">
      <c r="A451" s="77"/>
      <c r="B451" s="127">
        <v>1</v>
      </c>
      <c r="C451" s="73" t="s">
        <v>780</v>
      </c>
      <c r="D451" s="88"/>
      <c r="E451" s="56"/>
      <c r="F451" s="56"/>
      <c r="G451" s="56"/>
    </row>
    <row r="452" spans="1:7" ht="20.100000000000001" customHeight="1" x14ac:dyDescent="0.25">
      <c r="A452" s="77"/>
      <c r="B452" s="127">
        <v>1</v>
      </c>
      <c r="C452" s="73" t="s">
        <v>781</v>
      </c>
      <c r="D452" s="88"/>
      <c r="E452" s="56"/>
      <c r="F452" s="56"/>
      <c r="G452" s="56"/>
    </row>
    <row r="453" spans="1:7" ht="20.100000000000001" customHeight="1" x14ac:dyDescent="0.25">
      <c r="A453" s="77"/>
      <c r="B453" s="127">
        <v>1</v>
      </c>
      <c r="C453" s="73" t="s">
        <v>788</v>
      </c>
      <c r="D453" s="88"/>
      <c r="E453" s="56"/>
      <c r="F453" s="56"/>
      <c r="G453" s="56"/>
    </row>
    <row r="454" spans="1:7" ht="20.100000000000001" customHeight="1" x14ac:dyDescent="0.25">
      <c r="A454" s="77"/>
      <c r="B454" s="160"/>
      <c r="C454" s="162" t="s">
        <v>789</v>
      </c>
      <c r="D454" s="88"/>
      <c r="E454" s="56"/>
      <c r="F454" s="56"/>
      <c r="G454" s="56"/>
    </row>
    <row r="455" spans="1:7" ht="20.100000000000001" customHeight="1" x14ac:dyDescent="0.25">
      <c r="A455" s="77"/>
      <c r="B455" s="127">
        <v>3</v>
      </c>
      <c r="C455" s="73" t="s">
        <v>790</v>
      </c>
      <c r="D455" s="88"/>
      <c r="E455" s="56"/>
      <c r="F455" s="56"/>
      <c r="G455" s="56"/>
    </row>
    <row r="456" spans="1:7" ht="20.100000000000001" customHeight="1" x14ac:dyDescent="0.25">
      <c r="A456" s="77"/>
      <c r="B456" s="127">
        <v>1</v>
      </c>
      <c r="C456" s="73" t="s">
        <v>785</v>
      </c>
      <c r="D456" s="88"/>
      <c r="E456" s="56"/>
      <c r="F456" s="56"/>
      <c r="G456" s="56"/>
    </row>
    <row r="457" spans="1:7" ht="20.100000000000001" customHeight="1" x14ac:dyDescent="0.25">
      <c r="A457" s="77"/>
      <c r="B457" s="127">
        <v>1</v>
      </c>
      <c r="C457" s="73" t="s">
        <v>780</v>
      </c>
      <c r="D457" s="88"/>
      <c r="E457" s="56"/>
      <c r="F457" s="56"/>
      <c r="G457" s="56"/>
    </row>
    <row r="458" spans="1:7" ht="20.100000000000001" customHeight="1" x14ac:dyDescent="0.25">
      <c r="A458" s="77"/>
      <c r="B458" s="127">
        <v>1</v>
      </c>
      <c r="C458" s="73" t="s">
        <v>781</v>
      </c>
      <c r="D458" s="88"/>
      <c r="E458" s="56"/>
      <c r="F458" s="56"/>
      <c r="G458" s="56"/>
    </row>
    <row r="459" spans="1:7" ht="20.100000000000001" customHeight="1" x14ac:dyDescent="0.25">
      <c r="A459" s="77"/>
      <c r="B459" s="127">
        <v>1</v>
      </c>
      <c r="C459" s="73" t="s">
        <v>788</v>
      </c>
      <c r="D459" s="88"/>
      <c r="E459" s="56"/>
      <c r="F459" s="56"/>
      <c r="G459" s="56"/>
    </row>
    <row r="460" spans="1:7" ht="20.100000000000001" customHeight="1" x14ac:dyDescent="0.25">
      <c r="A460" s="77"/>
      <c r="B460" s="127">
        <v>1</v>
      </c>
      <c r="C460" s="73" t="s">
        <v>779</v>
      </c>
      <c r="D460" s="88"/>
      <c r="E460" s="56"/>
      <c r="F460" s="56"/>
      <c r="G460" s="56"/>
    </row>
    <row r="461" spans="1:7" ht="20.100000000000001" customHeight="1" x14ac:dyDescent="0.25">
      <c r="A461" s="77"/>
      <c r="B461" s="127"/>
      <c r="C461" s="162" t="s">
        <v>791</v>
      </c>
      <c r="D461" s="88"/>
      <c r="E461" s="56"/>
      <c r="F461" s="56"/>
      <c r="G461" s="56"/>
    </row>
    <row r="462" spans="1:7" ht="20.100000000000001" customHeight="1" x14ac:dyDescent="0.25">
      <c r="A462" s="77"/>
      <c r="B462" s="127"/>
      <c r="C462" s="162" t="s">
        <v>792</v>
      </c>
      <c r="D462" s="88"/>
      <c r="E462" s="56"/>
      <c r="F462" s="56"/>
      <c r="G462" s="56"/>
    </row>
    <row r="463" spans="1:7" ht="20.100000000000001" customHeight="1" x14ac:dyDescent="0.25">
      <c r="A463" s="77"/>
      <c r="B463" s="127">
        <v>2</v>
      </c>
      <c r="C463" s="73" t="s">
        <v>793</v>
      </c>
      <c r="D463" s="88"/>
      <c r="E463" s="56"/>
      <c r="F463" s="56"/>
      <c r="G463" s="56"/>
    </row>
    <row r="464" spans="1:7" ht="20.100000000000001" customHeight="1" x14ac:dyDescent="0.25">
      <c r="A464" s="77"/>
      <c r="B464" s="127">
        <v>2</v>
      </c>
      <c r="C464" s="73" t="s">
        <v>53</v>
      </c>
      <c r="D464" s="88"/>
      <c r="E464" s="56"/>
      <c r="F464" s="56"/>
      <c r="G464" s="56"/>
    </row>
    <row r="465" spans="1:7" ht="20.100000000000001" customHeight="1" x14ac:dyDescent="0.25">
      <c r="A465" s="77"/>
      <c r="B465" s="127">
        <v>1</v>
      </c>
      <c r="C465" s="73" t="s">
        <v>180</v>
      </c>
      <c r="D465" s="88"/>
      <c r="E465" s="56"/>
      <c r="F465" s="56"/>
      <c r="G465" s="56"/>
    </row>
    <row r="466" spans="1:7" ht="20.100000000000001" customHeight="1" x14ac:dyDescent="0.25">
      <c r="A466" s="77"/>
      <c r="B466" s="127">
        <v>1</v>
      </c>
      <c r="C466" s="73" t="s">
        <v>794</v>
      </c>
      <c r="D466" s="88"/>
      <c r="E466" s="56"/>
      <c r="F466" s="56"/>
      <c r="G466" s="56"/>
    </row>
    <row r="467" spans="1:7" ht="20.100000000000001" customHeight="1" x14ac:dyDescent="0.25">
      <c r="A467" s="77"/>
      <c r="B467" s="127">
        <v>2</v>
      </c>
      <c r="C467" s="73" t="s">
        <v>795</v>
      </c>
      <c r="D467" s="88"/>
      <c r="E467" s="56"/>
      <c r="F467" s="56"/>
      <c r="G467" s="56"/>
    </row>
    <row r="468" spans="1:7" ht="20.100000000000001" customHeight="1" x14ac:dyDescent="0.25">
      <c r="A468" s="77"/>
      <c r="B468" s="127">
        <v>1</v>
      </c>
      <c r="C468" s="73" t="s">
        <v>796</v>
      </c>
      <c r="D468" s="88"/>
      <c r="E468" s="56"/>
      <c r="F468" s="56"/>
      <c r="G468" s="56"/>
    </row>
    <row r="469" spans="1:7" ht="20.100000000000001" customHeight="1" x14ac:dyDescent="0.25">
      <c r="A469" s="77"/>
      <c r="B469" s="127">
        <v>1</v>
      </c>
      <c r="C469" s="73" t="s">
        <v>797</v>
      </c>
      <c r="D469" s="88"/>
      <c r="E469" s="56"/>
      <c r="F469" s="56"/>
      <c r="G469" s="56"/>
    </row>
    <row r="470" spans="1:7" ht="20.100000000000001" customHeight="1" x14ac:dyDescent="0.25">
      <c r="A470" s="77"/>
      <c r="B470" s="127">
        <v>1</v>
      </c>
      <c r="C470" s="73" t="s">
        <v>798</v>
      </c>
      <c r="D470" s="88"/>
      <c r="E470" s="56"/>
      <c r="F470" s="56"/>
      <c r="G470" s="56"/>
    </row>
    <row r="471" spans="1:7" ht="20.100000000000001" customHeight="1" x14ac:dyDescent="0.25">
      <c r="A471" s="77"/>
      <c r="B471" s="127">
        <v>1</v>
      </c>
      <c r="C471" s="73" t="s">
        <v>799</v>
      </c>
      <c r="D471" s="88"/>
      <c r="E471" s="56"/>
      <c r="F471" s="56"/>
      <c r="G471" s="56"/>
    </row>
    <row r="472" spans="1:7" ht="20.100000000000001" customHeight="1" x14ac:dyDescent="0.25">
      <c r="A472" s="77"/>
      <c r="B472" s="127">
        <v>1</v>
      </c>
      <c r="C472" s="73" t="s">
        <v>800</v>
      </c>
      <c r="D472" s="88"/>
      <c r="E472" s="56"/>
      <c r="F472" s="56"/>
      <c r="G472" s="56"/>
    </row>
    <row r="473" spans="1:7" ht="20.100000000000001" customHeight="1" x14ac:dyDescent="0.25">
      <c r="A473" s="77"/>
      <c r="B473" s="127">
        <v>1</v>
      </c>
      <c r="C473" s="73" t="s">
        <v>458</v>
      </c>
      <c r="D473" s="88"/>
      <c r="E473" s="56"/>
      <c r="F473" s="56"/>
      <c r="G473" s="56"/>
    </row>
    <row r="474" spans="1:7" ht="20.100000000000001" customHeight="1" x14ac:dyDescent="0.25">
      <c r="A474" s="77"/>
      <c r="B474" s="127">
        <v>1</v>
      </c>
      <c r="C474" s="73" t="s">
        <v>801</v>
      </c>
      <c r="D474" s="88"/>
      <c r="E474" s="56"/>
      <c r="F474" s="56"/>
      <c r="G474" s="56"/>
    </row>
    <row r="475" spans="1:7" ht="20.100000000000001" customHeight="1" x14ac:dyDescent="0.25">
      <c r="A475" s="77"/>
      <c r="B475" s="127">
        <v>2</v>
      </c>
      <c r="C475" s="73" t="s">
        <v>802</v>
      </c>
      <c r="D475" s="88"/>
      <c r="E475" s="56"/>
      <c r="F475" s="56"/>
      <c r="G475" s="56"/>
    </row>
    <row r="476" spans="1:7" ht="20.100000000000001" customHeight="1" x14ac:dyDescent="0.25">
      <c r="A476" s="77"/>
      <c r="B476" s="127">
        <v>1</v>
      </c>
      <c r="C476" s="73" t="s">
        <v>803</v>
      </c>
      <c r="D476" s="88"/>
      <c r="E476" s="56"/>
      <c r="F476" s="56"/>
      <c r="G476" s="56"/>
    </row>
    <row r="477" spans="1:7" ht="20.100000000000001" customHeight="1" x14ac:dyDescent="0.25">
      <c r="A477" s="77"/>
      <c r="B477" s="127">
        <v>2</v>
      </c>
      <c r="C477" s="73" t="s">
        <v>804</v>
      </c>
      <c r="D477" s="88"/>
      <c r="E477" s="56"/>
      <c r="F477" s="56"/>
      <c r="G477" s="56"/>
    </row>
    <row r="478" spans="1:7" ht="20.100000000000001" customHeight="1" x14ac:dyDescent="0.25">
      <c r="A478" s="77"/>
      <c r="B478" s="127">
        <v>1</v>
      </c>
      <c r="C478" s="73" t="s">
        <v>805</v>
      </c>
      <c r="D478" s="88"/>
      <c r="E478" s="56"/>
      <c r="F478" s="56"/>
      <c r="G478" s="56"/>
    </row>
    <row r="479" spans="1:7" ht="20.100000000000001" customHeight="1" x14ac:dyDescent="0.25">
      <c r="A479" s="77"/>
      <c r="B479" s="127">
        <v>1</v>
      </c>
      <c r="C479" s="73" t="s">
        <v>470</v>
      </c>
      <c r="D479" s="88"/>
      <c r="E479" s="56"/>
      <c r="F479" s="56"/>
      <c r="G479" s="56"/>
    </row>
    <row r="480" spans="1:7" ht="20.100000000000001" customHeight="1" x14ac:dyDescent="0.25">
      <c r="A480" s="77"/>
      <c r="B480" s="127">
        <v>7</v>
      </c>
      <c r="C480" s="73" t="s">
        <v>54</v>
      </c>
      <c r="D480" s="88"/>
      <c r="E480" s="56"/>
      <c r="F480" s="56"/>
      <c r="G480" s="56"/>
    </row>
    <row r="481" spans="1:7" ht="20.100000000000001" customHeight="1" x14ac:dyDescent="0.25">
      <c r="A481" s="77"/>
      <c r="B481" s="161">
        <f>SUM(B463:B480)</f>
        <v>29</v>
      </c>
      <c r="C481" s="73"/>
      <c r="D481" s="88"/>
      <c r="E481" s="56"/>
      <c r="F481" s="56"/>
      <c r="G481" s="56"/>
    </row>
    <row r="482" spans="1:7" ht="20.100000000000001" customHeight="1" x14ac:dyDescent="0.25">
      <c r="A482" s="77"/>
      <c r="B482" s="160"/>
      <c r="C482" s="160"/>
      <c r="D482" s="88"/>
      <c r="E482" s="56"/>
      <c r="F482" s="56"/>
      <c r="G482" s="56"/>
    </row>
    <row r="483" spans="1:7" ht="20.100000000000001" customHeight="1" x14ac:dyDescent="0.25">
      <c r="A483" s="77"/>
      <c r="B483" s="160"/>
      <c r="C483" s="162" t="s">
        <v>806</v>
      </c>
      <c r="D483" s="88"/>
      <c r="E483" s="56"/>
      <c r="F483" s="56"/>
      <c r="G483" s="56"/>
    </row>
    <row r="484" spans="1:7" ht="20.100000000000001" customHeight="1" x14ac:dyDescent="0.25">
      <c r="A484" s="77"/>
      <c r="B484" s="127">
        <v>3</v>
      </c>
      <c r="C484" s="73" t="s">
        <v>807</v>
      </c>
      <c r="D484" s="88"/>
      <c r="E484" s="56"/>
      <c r="F484" s="56"/>
      <c r="G484" s="56"/>
    </row>
    <row r="485" spans="1:7" ht="20.100000000000001" customHeight="1" x14ac:dyDescent="0.25">
      <c r="A485" s="77"/>
      <c r="B485" s="127">
        <v>1</v>
      </c>
      <c r="C485" s="63" t="s">
        <v>808</v>
      </c>
      <c r="D485" s="88"/>
      <c r="E485" s="56"/>
      <c r="F485" s="56"/>
      <c r="G485" s="56"/>
    </row>
    <row r="486" spans="1:7" ht="20.100000000000001" customHeight="1" x14ac:dyDescent="0.25">
      <c r="A486" s="77"/>
      <c r="B486" s="127">
        <v>1</v>
      </c>
      <c r="C486" s="63" t="s">
        <v>809</v>
      </c>
      <c r="D486" s="88"/>
      <c r="E486" s="56"/>
      <c r="F486" s="56"/>
      <c r="G486" s="56"/>
    </row>
    <row r="487" spans="1:7" ht="20.100000000000001" customHeight="1" x14ac:dyDescent="0.25">
      <c r="A487" s="77"/>
      <c r="B487" s="127">
        <v>1</v>
      </c>
      <c r="C487" s="63" t="s">
        <v>810</v>
      </c>
      <c r="D487" s="88"/>
      <c r="E487" s="56"/>
      <c r="F487" s="56"/>
      <c r="G487" s="56"/>
    </row>
    <row r="488" spans="1:7" ht="20.100000000000001" customHeight="1" x14ac:dyDescent="0.25">
      <c r="A488" s="77"/>
      <c r="B488" s="127">
        <v>1</v>
      </c>
      <c r="C488" s="63" t="s">
        <v>811</v>
      </c>
      <c r="D488" s="88"/>
      <c r="E488" s="56"/>
      <c r="F488" s="56"/>
      <c r="G488" s="56"/>
    </row>
    <row r="489" spans="1:7" ht="20.100000000000001" customHeight="1" x14ac:dyDescent="0.25">
      <c r="A489" s="77"/>
      <c r="B489" s="127">
        <v>1</v>
      </c>
      <c r="C489" s="63" t="s">
        <v>812</v>
      </c>
      <c r="D489" s="88"/>
      <c r="E489" s="56"/>
      <c r="F489" s="56"/>
      <c r="G489" s="56"/>
    </row>
    <row r="490" spans="1:7" ht="20.100000000000001" customHeight="1" x14ac:dyDescent="0.25">
      <c r="A490" s="77"/>
      <c r="B490" s="127">
        <v>2</v>
      </c>
      <c r="C490" s="63" t="s">
        <v>454</v>
      </c>
      <c r="D490" s="88"/>
      <c r="E490" s="56"/>
      <c r="F490" s="56"/>
      <c r="G490" s="56"/>
    </row>
    <row r="491" spans="1:7" ht="20.100000000000001" customHeight="1" x14ac:dyDescent="0.25">
      <c r="A491" s="77"/>
      <c r="B491" s="127">
        <v>1</v>
      </c>
      <c r="C491" s="63" t="s">
        <v>813</v>
      </c>
      <c r="D491" s="88"/>
      <c r="E491" s="56"/>
      <c r="F491" s="56"/>
      <c r="G491" s="56"/>
    </row>
    <row r="492" spans="1:7" ht="20.100000000000001" customHeight="1" x14ac:dyDescent="0.25">
      <c r="A492" s="77"/>
      <c r="B492" s="127">
        <v>2</v>
      </c>
      <c r="C492" s="63" t="s">
        <v>814</v>
      </c>
      <c r="D492" s="88"/>
      <c r="E492" s="56"/>
      <c r="F492" s="56"/>
      <c r="G492" s="56"/>
    </row>
    <row r="493" spans="1:7" ht="20.100000000000001" customHeight="1" x14ac:dyDescent="0.25">
      <c r="A493" s="77"/>
      <c r="B493" s="127">
        <v>1</v>
      </c>
      <c r="C493" s="63" t="s">
        <v>815</v>
      </c>
      <c r="D493" s="88"/>
      <c r="E493" s="56"/>
      <c r="F493" s="56"/>
      <c r="G493" s="56"/>
    </row>
    <row r="494" spans="1:7" ht="20.100000000000001" customHeight="1" x14ac:dyDescent="0.25">
      <c r="A494" s="77"/>
      <c r="B494" s="127">
        <v>1</v>
      </c>
      <c r="C494" s="63" t="s">
        <v>816</v>
      </c>
      <c r="D494" s="88"/>
      <c r="E494" s="56"/>
      <c r="F494" s="56"/>
      <c r="G494" s="56"/>
    </row>
    <row r="495" spans="1:7" ht="20.100000000000001" customHeight="1" x14ac:dyDescent="0.25">
      <c r="A495" s="77"/>
      <c r="B495" s="127">
        <v>2</v>
      </c>
      <c r="C495" s="63" t="s">
        <v>817</v>
      </c>
      <c r="D495" s="88"/>
      <c r="E495" s="56"/>
      <c r="F495" s="56"/>
      <c r="G495" s="56"/>
    </row>
    <row r="496" spans="1:7" ht="20.100000000000001" customHeight="1" x14ac:dyDescent="0.25">
      <c r="A496" s="77"/>
      <c r="B496" s="127">
        <v>1</v>
      </c>
      <c r="C496" s="63" t="s">
        <v>818</v>
      </c>
      <c r="D496" s="88"/>
      <c r="E496" s="56"/>
      <c r="F496" s="56"/>
      <c r="G496" s="56"/>
    </row>
    <row r="497" spans="1:7" ht="20.100000000000001" customHeight="1" x14ac:dyDescent="0.25">
      <c r="A497" s="77"/>
      <c r="B497" s="127">
        <v>1</v>
      </c>
      <c r="C497" s="63" t="s">
        <v>819</v>
      </c>
      <c r="D497" s="88"/>
      <c r="E497" s="56"/>
      <c r="F497" s="56"/>
      <c r="G497" s="56"/>
    </row>
    <row r="498" spans="1:7" ht="20.100000000000001" customHeight="1" x14ac:dyDescent="0.25">
      <c r="A498" s="77"/>
      <c r="B498" s="162">
        <f>SUM(B484:B497)</f>
        <v>19</v>
      </c>
      <c r="C498" s="163"/>
      <c r="D498" s="88"/>
      <c r="E498" s="56"/>
      <c r="F498" s="56"/>
      <c r="G498" s="56"/>
    </row>
    <row r="499" spans="1:7" ht="20.100000000000001" customHeight="1" x14ac:dyDescent="0.25">
      <c r="A499" s="77"/>
      <c r="B499" s="87"/>
      <c r="C499" s="88"/>
      <c r="D499" s="88"/>
      <c r="E499" s="56"/>
      <c r="F499" s="56"/>
      <c r="G499" s="56"/>
    </row>
    <row r="500" spans="1:7" ht="20.100000000000001" customHeight="1" x14ac:dyDescent="0.25">
      <c r="A500" s="89"/>
      <c r="B500" s="71"/>
      <c r="C500" s="75"/>
      <c r="D500" s="90"/>
      <c r="E500" s="59"/>
    </row>
    <row r="501" spans="1:7" ht="20.100000000000001" customHeight="1" x14ac:dyDescent="0.25">
      <c r="A501" s="89"/>
      <c r="B501" s="145">
        <v>1</v>
      </c>
      <c r="C501" s="146" t="s">
        <v>479</v>
      </c>
      <c r="D501" s="76"/>
      <c r="E501" s="59"/>
    </row>
    <row r="502" spans="1:7" ht="20.100000000000001" customHeight="1" x14ac:dyDescent="0.25">
      <c r="A502" s="89"/>
      <c r="B502" s="145">
        <v>3</v>
      </c>
      <c r="C502" s="146" t="s">
        <v>472</v>
      </c>
      <c r="D502" s="91"/>
      <c r="E502" s="59"/>
    </row>
    <row r="503" spans="1:7" ht="20.100000000000001" customHeight="1" x14ac:dyDescent="0.25">
      <c r="A503" s="89"/>
      <c r="B503" s="145">
        <v>1</v>
      </c>
      <c r="C503" s="148" t="s">
        <v>56</v>
      </c>
      <c r="D503" s="91"/>
      <c r="E503" s="59"/>
    </row>
    <row r="504" spans="1:7" ht="20.100000000000001" customHeight="1" x14ac:dyDescent="0.25">
      <c r="A504" s="89"/>
      <c r="B504" s="145">
        <v>1</v>
      </c>
      <c r="C504" s="148" t="s">
        <v>473</v>
      </c>
      <c r="D504" s="92"/>
      <c r="E504" s="59"/>
    </row>
    <row r="505" spans="1:7" ht="20.100000000000001" customHeight="1" x14ac:dyDescent="0.25">
      <c r="A505" s="93"/>
      <c r="B505" s="145">
        <v>2</v>
      </c>
      <c r="C505" s="148" t="s">
        <v>478</v>
      </c>
      <c r="D505" s="94"/>
    </row>
    <row r="506" spans="1:7" ht="20.100000000000001" customHeight="1" x14ac:dyDescent="0.25">
      <c r="A506" s="93"/>
      <c r="B506" s="145">
        <v>1</v>
      </c>
      <c r="C506" s="148" t="s">
        <v>474</v>
      </c>
      <c r="D506" s="94"/>
    </row>
    <row r="507" spans="1:7" ht="20.100000000000001" customHeight="1" x14ac:dyDescent="0.25">
      <c r="A507" s="93"/>
      <c r="B507" s="74">
        <f>SUM(B501:B506)</f>
        <v>9</v>
      </c>
      <c r="C507" s="75"/>
      <c r="D507" s="94"/>
    </row>
    <row r="508" spans="1:7" ht="20.100000000000001" customHeight="1" x14ac:dyDescent="0.25">
      <c r="A508" s="93"/>
      <c r="B508" s="96"/>
      <c r="C508" s="97"/>
      <c r="D508" s="94"/>
    </row>
    <row r="509" spans="1:7" ht="20.100000000000001" customHeight="1" x14ac:dyDescent="0.25">
      <c r="A509" s="93"/>
      <c r="B509" s="96"/>
      <c r="C509" s="97"/>
      <c r="D509" s="94"/>
    </row>
    <row r="510" spans="1:7" ht="20.100000000000001" customHeight="1" x14ac:dyDescent="0.25">
      <c r="A510" s="93"/>
      <c r="B510" s="96"/>
      <c r="C510" s="97"/>
      <c r="D510" s="94"/>
    </row>
    <row r="511" spans="1:7" ht="20.100000000000001" customHeight="1" x14ac:dyDescent="0.25">
      <c r="B511" s="93"/>
      <c r="C511" s="98"/>
      <c r="D511" s="99"/>
    </row>
    <row r="512" spans="1:7" ht="20.100000000000001" customHeight="1" thickBot="1" x14ac:dyDescent="0.3">
      <c r="B512" s="95" t="s">
        <v>182</v>
      </c>
      <c r="C512" s="100"/>
      <c r="D512" s="100"/>
    </row>
    <row r="513" spans="2:4" ht="20.100000000000001" customHeight="1" x14ac:dyDescent="0.25">
      <c r="B513" s="95"/>
      <c r="C513" s="95"/>
      <c r="D513" s="95"/>
    </row>
    <row r="514" spans="2:4" ht="20.100000000000001" customHeight="1" x14ac:dyDescent="0.25">
      <c r="B514" s="95"/>
      <c r="C514" s="95"/>
      <c r="D514" s="95"/>
    </row>
    <row r="515" spans="2:4" ht="20.100000000000001" customHeight="1" x14ac:dyDescent="0.25">
      <c r="B515" s="95"/>
      <c r="C515" s="95"/>
      <c r="D515" s="95"/>
    </row>
    <row r="516" spans="2:4" ht="20.100000000000001" customHeight="1" thickBot="1" x14ac:dyDescent="0.3">
      <c r="B516" s="95" t="s">
        <v>183</v>
      </c>
      <c r="C516" s="100"/>
      <c r="D516" s="100"/>
    </row>
    <row r="517" spans="2:4" ht="20.100000000000001" customHeight="1" x14ac:dyDescent="0.25">
      <c r="B517" s="95"/>
      <c r="C517" s="95"/>
      <c r="D517" s="95"/>
    </row>
    <row r="518" spans="2:4" ht="20.100000000000001" customHeight="1" x14ac:dyDescent="0.25">
      <c r="B518" s="95"/>
      <c r="C518" s="95"/>
      <c r="D518" s="95"/>
    </row>
    <row r="519" spans="2:4" ht="20.100000000000001" customHeight="1" x14ac:dyDescent="0.25">
      <c r="B519" s="95"/>
      <c r="C519" s="95"/>
      <c r="D519" s="95"/>
    </row>
    <row r="520" spans="2:4" ht="20.100000000000001" customHeight="1" thickBot="1" x14ac:dyDescent="0.3">
      <c r="B520" s="95" t="s">
        <v>57</v>
      </c>
      <c r="C520" s="100"/>
      <c r="D520" s="100"/>
    </row>
    <row r="521" spans="2:4" ht="20.100000000000001" customHeight="1" x14ac:dyDescent="0.25">
      <c r="B521" s="95"/>
      <c r="C521" s="95"/>
      <c r="D521" s="95"/>
    </row>
    <row r="522" spans="2:4" ht="20.100000000000001" customHeight="1" x14ac:dyDescent="0.25">
      <c r="B522" s="101"/>
      <c r="C522" s="101"/>
      <c r="D522" s="102"/>
    </row>
    <row r="523" spans="2:4" ht="20.100000000000001" customHeight="1" thickBot="1" x14ac:dyDescent="0.3">
      <c r="B523" s="95" t="s">
        <v>184</v>
      </c>
      <c r="C523" s="100"/>
      <c r="D523" s="100"/>
    </row>
    <row r="524" spans="2:4" ht="20.100000000000001" customHeight="1" x14ac:dyDescent="0.25">
      <c r="B524" s="93"/>
      <c r="C524" s="98"/>
      <c r="D524" s="99"/>
    </row>
    <row r="525" spans="2:4" ht="20.100000000000001" customHeight="1" x14ac:dyDescent="0.25">
      <c r="B525" s="93"/>
      <c r="C525" s="98"/>
      <c r="D525" s="99"/>
    </row>
    <row r="526" spans="2:4" ht="20.100000000000001" customHeight="1" thickBot="1" x14ac:dyDescent="0.3">
      <c r="B526" s="93" t="s">
        <v>185</v>
      </c>
      <c r="C526" s="104"/>
      <c r="D526" s="103"/>
    </row>
    <row r="527" spans="2:4" ht="20.100000000000001" customHeight="1" x14ac:dyDescent="0.25">
      <c r="B527" s="93"/>
      <c r="C527" s="98"/>
      <c r="D527" s="99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10">
    <mergeCell ref="B361:C361"/>
    <mergeCell ref="A11:B11"/>
    <mergeCell ref="M5:N6"/>
    <mergeCell ref="D2:E2"/>
    <mergeCell ref="C4:C5"/>
    <mergeCell ref="C2:C3"/>
    <mergeCell ref="A135:C135"/>
    <mergeCell ref="A150:C150"/>
    <mergeCell ref="A162:C162"/>
    <mergeCell ref="A169:C169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52</v>
      </c>
      <c r="B1" s="35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33</v>
      </c>
    </row>
    <row r="2" spans="1:1" x14ac:dyDescent="0.25">
      <c r="A2" t="s">
        <v>34</v>
      </c>
    </row>
    <row r="3" spans="1:1" x14ac:dyDescent="0.25">
      <c r="A3" t="s">
        <v>35</v>
      </c>
    </row>
    <row r="4" spans="1:1" x14ac:dyDescent="0.25">
      <c r="A4" t="s">
        <v>36</v>
      </c>
    </row>
    <row r="5" spans="1:1" x14ac:dyDescent="0.25">
      <c r="A5" t="s">
        <v>37</v>
      </c>
    </row>
    <row r="6" spans="1:1" x14ac:dyDescent="0.25">
      <c r="A6" t="s">
        <v>38</v>
      </c>
    </row>
    <row r="7" spans="1:1" x14ac:dyDescent="0.25">
      <c r="A7" t="s">
        <v>39</v>
      </c>
    </row>
    <row r="8" spans="1:1" x14ac:dyDescent="0.25">
      <c r="A8" t="s">
        <v>40</v>
      </c>
    </row>
    <row r="9" spans="1:1" x14ac:dyDescent="0.25">
      <c r="A9" t="s">
        <v>41</v>
      </c>
    </row>
    <row r="10" spans="1:1" x14ac:dyDescent="0.25">
      <c r="A10" t="s">
        <v>42</v>
      </c>
    </row>
    <row r="11" spans="1:1" x14ac:dyDescent="0.25">
      <c r="A11" t="s">
        <v>43</v>
      </c>
    </row>
    <row r="12" spans="1:1" x14ac:dyDescent="0.25">
      <c r="A12" t="s">
        <v>44</v>
      </c>
    </row>
    <row r="13" spans="1:1" x14ac:dyDescent="0.25">
      <c r="A13" t="s">
        <v>45</v>
      </c>
    </row>
    <row r="14" spans="1:1" x14ac:dyDescent="0.25">
      <c r="A14" t="s">
        <v>46</v>
      </c>
    </row>
    <row r="15" spans="1:1" x14ac:dyDescent="0.25">
      <c r="A15" t="s">
        <v>47</v>
      </c>
    </row>
    <row r="16" spans="1:1" x14ac:dyDescent="0.25">
      <c r="A16" t="s">
        <v>48</v>
      </c>
    </row>
    <row r="17" spans="1:1" x14ac:dyDescent="0.25">
      <c r="A17" t="s">
        <v>49</v>
      </c>
    </row>
    <row r="18" spans="1:1" x14ac:dyDescent="0.25">
      <c r="A18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2023-05-25T23:29:18Z</cp:lastPrinted>
  <dcterms:created xsi:type="dcterms:W3CDTF">2023-01-26T13:28:36Z</dcterms:created>
  <dcterms:modified xsi:type="dcterms:W3CDTF">2023-05-25T23:29:21Z</dcterms:modified>
</cp:coreProperties>
</file>