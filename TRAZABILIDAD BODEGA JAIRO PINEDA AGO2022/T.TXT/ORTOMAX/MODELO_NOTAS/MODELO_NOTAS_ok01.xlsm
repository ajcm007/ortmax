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O_NOTAS\"/>
    </mc:Choice>
  </mc:AlternateContent>
  <bookViews>
    <workbookView xWindow="0" yWindow="0" windowWidth="20490" windowHeight="6825"/>
  </bookViews>
  <sheets>
    <sheet name="Hoja1" sheetId="1" r:id="rId1"/>
    <sheet name="Hoja5" sheetId="6" r:id="rId2"/>
    <sheet name="Hoja4" sheetId="4" state="hidden" r:id="rId3"/>
    <sheet name="Hoja2" sheetId="2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62913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E9" i="1" l="1"/>
  <c r="C13" i="1"/>
  <c r="C11" i="1"/>
  <c r="G126" i="1" l="1"/>
  <c r="G127" i="1" s="1"/>
  <c r="G128" i="1" s="1"/>
  <c r="E5" i="1" l="1"/>
  <c r="E4" i="1"/>
  <c r="C7" i="1" l="1"/>
</calcChain>
</file>

<file path=xl/comments1.xml><?xml version="1.0" encoding="utf-8"?>
<comments xmlns="http://schemas.openxmlformats.org/spreadsheetml/2006/main">
  <authors>
    <author>Asus</author>
  </authors>
  <commentList>
    <comment ref="E7" authorId="0" shapeId="0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<sst xmlns="http://schemas.openxmlformats.org/spreadsheetml/2006/main" count="526" uniqueCount="361">
  <si>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</si>
  <si>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</si>
  <si>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</si>
  <si>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</si>
  <si>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</si>
  <si>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</si>
  <si>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</si>
  <si>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</si>
  <si>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</si>
  <si>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</si>
  <si>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</si>
  <si>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</si>
  <si>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</si>
  <si>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</si>
  <si>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</si>
  <si>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</si>
  <si>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</si>
  <si>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</si>
  <si>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</si>
  <si>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</si>
  <si>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</si>
  <si>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</si>
  <si>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</si>
  <si>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</si>
  <si>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</si>
  <si>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</si>
  <si>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</si>
  <si>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</si>
  <si>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CLINICA SANTA GEMA</t>
  </si>
  <si>
    <t>INQ</t>
  </si>
  <si>
    <t>DR. PARRALES</t>
  </si>
  <si>
    <t>CANTIDAD</t>
  </si>
  <si>
    <t>12MD</t>
  </si>
  <si>
    <t xml:space="preserve">BANDEJA INFERIOR 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</si>
  <si>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</si>
  <si>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</si>
  <si>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</si>
  <si>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</si>
  <si>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</si>
  <si>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</si>
  <si>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</si>
  <si>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</si>
  <si>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040030020</t>
  </si>
  <si>
    <t>040030025</t>
  </si>
  <si>
    <t>040030030</t>
  </si>
  <si>
    <t>040030035</t>
  </si>
  <si>
    <t>040030040</t>
  </si>
  <si>
    <t>040030045</t>
  </si>
  <si>
    <t>040030050</t>
  </si>
  <si>
    <t>040030055</t>
  </si>
  <si>
    <t>040030060</t>
  </si>
  <si>
    <t>55903565YN</t>
  </si>
  <si>
    <t>55903570YN</t>
  </si>
  <si>
    <t>T500935012</t>
  </si>
  <si>
    <t>T500935014</t>
  </si>
  <si>
    <t>T500935016</t>
  </si>
  <si>
    <t>T500935018</t>
  </si>
  <si>
    <t>T500935020</t>
  </si>
  <si>
    <t>T500935022</t>
  </si>
  <si>
    <t>T500935024</t>
  </si>
  <si>
    <t>T500935026</t>
  </si>
  <si>
    <t>T500935028</t>
  </si>
  <si>
    <t>T500935030</t>
  </si>
  <si>
    <t>T500935032</t>
  </si>
  <si>
    <t>T500935034</t>
  </si>
  <si>
    <t>T500935036</t>
  </si>
  <si>
    <t>T500935038</t>
  </si>
  <si>
    <t>T500935040</t>
  </si>
  <si>
    <t>T500935042</t>
  </si>
  <si>
    <t>T500935044</t>
  </si>
  <si>
    <t>T500935046</t>
  </si>
  <si>
    <t>T500935048</t>
  </si>
  <si>
    <t>T500935050</t>
  </si>
  <si>
    <t>T500935055</t>
  </si>
  <si>
    <t>T500935060</t>
  </si>
  <si>
    <t>T500935065</t>
  </si>
  <si>
    <t>T500935070</t>
  </si>
  <si>
    <t>Ti-102.246</t>
  </si>
  <si>
    <t>Ti-102.248</t>
  </si>
  <si>
    <t>Ti-102.250</t>
  </si>
  <si>
    <t>Ti-102.255</t>
  </si>
  <si>
    <t>Ti-102.260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</si>
  <si>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</si>
  <si>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</si>
  <si>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INSTRUMENTAL RADIO DISTAL TITANIO # 1</t>
  </si>
  <si>
    <t>DESCRIPCIÓN</t>
  </si>
  <si>
    <t xml:space="preserve">BANDEJA SUPERIOR </t>
  </si>
  <si>
    <t>MEDIDOR DE PROFUNDIDAD NEGRO</t>
  </si>
  <si>
    <t>MEDIDOR DE PROFUNDIDAD GRIS</t>
  </si>
  <si>
    <t xml:space="preserve">ATORNILLADOR STARDRIVE </t>
  </si>
  <si>
    <t>GUIA DE BROCA 2.0/2.7</t>
  </si>
  <si>
    <t>MACHUELO DE ANCLAJE RAPIDO</t>
  </si>
  <si>
    <t xml:space="preserve">ATORNILLADOR STARDRIVE ANCLAJE RAPIDO </t>
  </si>
  <si>
    <t xml:space="preserve">GUIA ANGULO VARIABLE </t>
  </si>
  <si>
    <t>BROCAS 2.7</t>
  </si>
  <si>
    <t>BROCAS 2.0</t>
  </si>
  <si>
    <t>BROCAS 2.0 LARGA</t>
  </si>
  <si>
    <t>BROCAS 1.8</t>
  </si>
  <si>
    <t>MANGO EN T DE ANCLAJE RAPIDO</t>
  </si>
  <si>
    <t>SEPARADORES MINIHOMMAN FINOS</t>
  </si>
  <si>
    <t>SEPARADORES MINIHOMMAN ANCHOS</t>
  </si>
  <si>
    <t>SEPARADORES SENNMILLER</t>
  </si>
  <si>
    <t>GUIAS DE BLOQUEO 1.5</t>
  </si>
  <si>
    <t>GUIAS DE BLOQUEO 1.8</t>
  </si>
  <si>
    <t>GUIAS DE BLOQUEO 2.0</t>
  </si>
  <si>
    <t>PINES</t>
  </si>
  <si>
    <t xml:space="preserve">DESPERIO MEDIANO </t>
  </si>
  <si>
    <t>DESPERIO CURVO FINO</t>
  </si>
  <si>
    <t xml:space="preserve">CAMISA DE ATORNILLADOR CORTICAL </t>
  </si>
  <si>
    <t>MANGO TORQUE 0.8 N.m</t>
  </si>
  <si>
    <t xml:space="preserve"> ATORNILLADOR ANCLAJE RAPIDO TORQUE </t>
  </si>
  <si>
    <t xml:space="preserve">CAMISA DE ATORNILLADOR BLOQUEADO </t>
  </si>
  <si>
    <t>PINZA DE SUJECCION CON CREMALLERA TIPO CANGREJO</t>
  </si>
  <si>
    <t>PINZA DE REDUCTORA DE PUNTA CON CREMALLERA</t>
  </si>
  <si>
    <t>GUBIA PEQUEÑA</t>
  </si>
  <si>
    <t>PINZA REDUCTORA ESPAÑOLA CON CREMALLERA</t>
  </si>
  <si>
    <t>PINZA EN PUNTA PEQUEÑA CREMALLERA</t>
  </si>
  <si>
    <t xml:space="preserve">CURETA </t>
  </si>
  <si>
    <t xml:space="preserve">GANCHO DE PIEL </t>
  </si>
  <si>
    <t>MOTOR CANULADO GRIS PEQUEÑO</t>
  </si>
  <si>
    <t>ADAPTADORES ANCLAJE RAPIDO</t>
  </si>
  <si>
    <t>LLAVE JACOBS</t>
  </si>
  <si>
    <t xml:space="preserve">HOJAS DE SIERRA </t>
  </si>
  <si>
    <t>BATERIAS GRIS PEQUEÑAS # 1 # 2</t>
  </si>
  <si>
    <t xml:space="preserve">NOTA: </t>
  </si>
  <si>
    <t xml:space="preserve">EL MOTOR DEBE SER ESTERILIZADO EN FRIO </t>
  </si>
  <si>
    <t xml:space="preserve">LA INSTITUCION SE HACE RESPONSABLE ANTE </t>
  </si>
  <si>
    <t xml:space="preserve">CUALQUIER DAÑO PRESENTADO </t>
  </si>
  <si>
    <t xml:space="preserve">LAS BATERIAS NO SE ESTERILIZAN </t>
  </si>
  <si>
    <t>INSRUMENTADOR</t>
  </si>
  <si>
    <t>TI-115.030</t>
  </si>
  <si>
    <t>200112216</t>
  </si>
  <si>
    <t>2100027758</t>
  </si>
  <si>
    <t>2100004807</t>
  </si>
  <si>
    <t>2100010641</t>
  </si>
  <si>
    <t>2100017399</t>
  </si>
  <si>
    <t>2100017484</t>
  </si>
  <si>
    <t>D180400701</t>
  </si>
  <si>
    <t>G200400794</t>
  </si>
  <si>
    <t>G200400784</t>
  </si>
  <si>
    <t>J2104590</t>
  </si>
  <si>
    <t>B2100005</t>
  </si>
  <si>
    <t>M190400704</t>
  </si>
  <si>
    <t>J2104467</t>
  </si>
  <si>
    <t>K180400706</t>
  </si>
  <si>
    <t>E190400736</t>
  </si>
  <si>
    <t>K180400719</t>
  </si>
  <si>
    <t>2100028611</t>
  </si>
  <si>
    <t>2100010645</t>
  </si>
  <si>
    <t>2100007516</t>
  </si>
  <si>
    <t>2100007744</t>
  </si>
  <si>
    <t>2104461</t>
  </si>
  <si>
    <t>M200400313</t>
  </si>
  <si>
    <t>M180400312</t>
  </si>
  <si>
    <t>H2102855</t>
  </si>
  <si>
    <t>G200400307</t>
  </si>
  <si>
    <t>H2104250</t>
  </si>
  <si>
    <t>H200400312</t>
  </si>
  <si>
    <t>TORNILLO CORTICAL 3.5*46mm TIT.</t>
  </si>
  <si>
    <t>2200079727</t>
  </si>
  <si>
    <t>TORNILLO CORTICAL 3.5*48mm TIT.</t>
  </si>
  <si>
    <t>2200061633</t>
  </si>
  <si>
    <t>TORNILLO CORTICAL 3.5*50mm TIT.</t>
  </si>
  <si>
    <t>TORNILLO CORTICAL 3.5*55mm TIT.</t>
  </si>
  <si>
    <t>TORNILLO CORTICAL 3.5*60mm TIT.</t>
  </si>
  <si>
    <t>TORNILLO CORTICAL 3.5*65mm TIT.</t>
  </si>
  <si>
    <t>TORNILLO CORTICAL 3.5*70mm TIT.</t>
  </si>
  <si>
    <t xml:space="preserve">TORNILLO DE BLOQUEO 3.5*12mm TIT. </t>
  </si>
  <si>
    <t xml:space="preserve">TORNILLO DE BLOQUEO 3.5*14mm TIT. </t>
  </si>
  <si>
    <t xml:space="preserve">TORNILLO DE BLOQUEO 3.5*16mm TIT. </t>
  </si>
  <si>
    <t>2100009896</t>
  </si>
  <si>
    <t>TORNILLO DE BLOQUEO 3.5*18mm TIT.</t>
  </si>
  <si>
    <t>TORNILLO DE BLOQUEO 3.5*20mm TIT.</t>
  </si>
  <si>
    <t>TORNILLO DE BLOQUEO 3.5*22mm TIT.</t>
  </si>
  <si>
    <t>TORNILLO DE BLOQUEO 3.5*24mm TIT.</t>
  </si>
  <si>
    <t>TORNILLO DE BLOQUEO 3.5*26mm TIT.</t>
  </si>
  <si>
    <t>TORNILLO DE BLOQUEO 3.5*28mm TIT.</t>
  </si>
  <si>
    <t xml:space="preserve">TORNILLO DE BLOQUEO 3.5*30mm TIT. </t>
  </si>
  <si>
    <t>TORNILLO DE BLOQUEO 3.5*32mm TIT.</t>
  </si>
  <si>
    <t>TORNILLO DE BLOQUEO 3.5*34mm TIT.</t>
  </si>
  <si>
    <t>2300007525</t>
  </si>
  <si>
    <t>TORNILLO DE BLOQUEO 3.5*36mm TIT.</t>
  </si>
  <si>
    <t>TORNILLO DE BLOQUEO 3.5*38mm TIT.</t>
  </si>
  <si>
    <t>2200184355</t>
  </si>
  <si>
    <t>TORNILLO DE BLOQUEO 3.5*40mm TIT.</t>
  </si>
  <si>
    <t>TORNILLO DE BLOQUEO 3.5*42mm TIT.</t>
  </si>
  <si>
    <t>TORNILLO DE BLOQUEO 3.5*44mm TIT.</t>
  </si>
  <si>
    <t>TORNILLO DE BLOQUEO 3.5*46mm TIT.</t>
  </si>
  <si>
    <t>TORNILLO DE BLOQUEO 3.5*48mm TIT.</t>
  </si>
  <si>
    <t>TORNILLO DE BLOQUEO 3.5*50mm TIT.</t>
  </si>
  <si>
    <t>TORNILLO DE BLOQUEO 3.5 *55mm TIT.</t>
  </si>
  <si>
    <t>TORNILLO DE BLOQUEO 3.5*60mm TIT.</t>
  </si>
  <si>
    <t>2100010712</t>
  </si>
  <si>
    <t>TORNILLO DE BLOQUEO 3.5*65mm TIT.</t>
  </si>
  <si>
    <t xml:space="preserve">TORNILLO DE BLOQUEO 3.5*70mm TIT. </t>
  </si>
  <si>
    <t xml:space="preserve">TORNILLO ESPONJOSO 4.0*20mm TIT. </t>
  </si>
  <si>
    <t xml:space="preserve">TORNILLO ESPONJOSO 4.0*25mm TIT. </t>
  </si>
  <si>
    <t xml:space="preserve">TORNILLO ESPONJOSO 4.0*30mm TIT. </t>
  </si>
  <si>
    <t xml:space="preserve">TORNILLO ESPONJOSO 4.0*35mm TIT. </t>
  </si>
  <si>
    <t xml:space="preserve">TORNILLO ESPONJOSO 4.0*40mm TIT. </t>
  </si>
  <si>
    <t xml:space="preserve">TORNILLO ESPONJOSO 4.0*45mm TIT. </t>
  </si>
  <si>
    <t>TORNILLO ESPONJOSO 4.0*50mm TIT.</t>
  </si>
  <si>
    <t>TORNILLO ESPONJOSO 4.0*55mm TIT.</t>
  </si>
  <si>
    <t xml:space="preserve">TORNILLO ESPONJOSO 4.0*60mm TIT. </t>
  </si>
  <si>
    <t>ARANDELAS 3.5mm TIT.</t>
  </si>
  <si>
    <t>184.301</t>
  </si>
  <si>
    <t>184.303</t>
  </si>
  <si>
    <t>184.305</t>
  </si>
  <si>
    <t>184.307</t>
  </si>
  <si>
    <t>184.310</t>
  </si>
  <si>
    <t>184.311</t>
  </si>
  <si>
    <t>184.313</t>
  </si>
  <si>
    <t>115.020</t>
  </si>
  <si>
    <t>Ti-115.020</t>
  </si>
  <si>
    <t>Ti-115.030</t>
  </si>
  <si>
    <t>142</t>
  </si>
  <si>
    <t>143</t>
  </si>
  <si>
    <t>144</t>
  </si>
  <si>
    <t>145</t>
  </si>
  <si>
    <t>185.116</t>
  </si>
  <si>
    <t>185.117</t>
  </si>
  <si>
    <t>185.128</t>
  </si>
  <si>
    <t>210936271</t>
  </si>
  <si>
    <t>METRO DE ALAMBRE QUIRURGICO *1.2mm ACERO</t>
  </si>
  <si>
    <t>210936961</t>
  </si>
  <si>
    <t>METRO DE ALAMBRE QUIRURGICO *1.5mm ACERO</t>
  </si>
  <si>
    <t>211037899</t>
  </si>
  <si>
    <t>METRO DE ALAMBRE QUIRURGICO *1.8mm ACERO</t>
  </si>
  <si>
    <t>210936962</t>
  </si>
  <si>
    <t>METRO DE ALAMBRE QUIRURGICO *2.0mm ACERO</t>
  </si>
  <si>
    <t>210936270</t>
  </si>
  <si>
    <t>METRO DE ALAMBRE QUIRURGICO *0.6mm ACERO</t>
  </si>
  <si>
    <t>211037898</t>
  </si>
  <si>
    <t>METRO DE ALAMBRE QUIRURGICO *0.8mm ACERO</t>
  </si>
  <si>
    <t>METRO DE ALAMBRE QUIRURGICO *1.0mm ACERO</t>
  </si>
  <si>
    <t>200316715</t>
  </si>
  <si>
    <t>ARANDELA 4.5mm ACERO</t>
  </si>
  <si>
    <t>210228152</t>
  </si>
  <si>
    <t>ARANDELA 4.5mm TIT.</t>
  </si>
  <si>
    <t>211037394</t>
  </si>
  <si>
    <t>PIN DESTEIMAN 2.5 MM</t>
  </si>
  <si>
    <t>PIN DESTEIMAN 3.0 mm</t>
  </si>
  <si>
    <t>PIN DESTEIMAN 3.5 MM</t>
  </si>
  <si>
    <t>190704146</t>
  </si>
  <si>
    <t>PIN DESTEIMAN 4.0 MM</t>
  </si>
  <si>
    <t>CLAVIJA KIRSCHNER 1.0*150mm ACERO</t>
  </si>
  <si>
    <t>CLAVIJA KIRSCHNER 1.0*225mm ACERO</t>
  </si>
  <si>
    <t>CLAVIJA KIRSCHNER 1.2*225 mm ACERO</t>
  </si>
  <si>
    <t>RUC</t>
  </si>
  <si>
    <t>Razón Social_Cliente</t>
  </si>
  <si>
    <t>Clínica_Hospital</t>
  </si>
  <si>
    <t>0990050368001</t>
  </si>
  <si>
    <t>C.A. CLINICA GUAYAQUIL S.M. S.</t>
  </si>
  <si>
    <t>CLINICA GUAYAQUIL</t>
  </si>
  <si>
    <t>0990763070001</t>
  </si>
  <si>
    <t>CENTRO DE SERVICIOS MEDICOS SAN FRANCISCO CEMEFRAN C.A.</t>
  </si>
  <si>
    <t>CLINICA SAN FRANCISCO</t>
  </si>
  <si>
    <t>0990725535001</t>
  </si>
  <si>
    <t xml:space="preserve">CLINICA ALBORADA C.A. </t>
  </si>
  <si>
    <t>CLINICA ALBORADA</t>
  </si>
  <si>
    <t>0992402601001</t>
  </si>
  <si>
    <t>CLINICA DE ESPECIALIDADES MEDICAS MILENIUM CLINESMIL S.A.</t>
  </si>
  <si>
    <t>CLINICA  MILENIUM</t>
  </si>
  <si>
    <t>1291700426001</t>
  </si>
  <si>
    <t>CLINICA MATERNIDAD GERMAN S.A. CLIGERSA</t>
  </si>
  <si>
    <t xml:space="preserve">CLINICA  GERMAN </t>
  </si>
  <si>
    <t>0990416427001</t>
  </si>
  <si>
    <t xml:space="preserve">CLINICA PANAMERICANA </t>
  </si>
  <si>
    <t>0992248556001</t>
  </si>
  <si>
    <t xml:space="preserve">CLINICA SANTAMARIA C </t>
  </si>
  <si>
    <t>CLINICA SANTA MARIA</t>
  </si>
  <si>
    <t>0991447482001</t>
  </si>
  <si>
    <t xml:space="preserve">CLINIURSA CLINICA URDENOR S.A. </t>
  </si>
  <si>
    <t>CLINICA URDENOR</t>
  </si>
  <si>
    <t>0990134294001</t>
  </si>
  <si>
    <t>ESCULAPIO S.A.S.</t>
  </si>
  <si>
    <t>CLINICA ALCIVAR</t>
  </si>
  <si>
    <t>0992426187001</t>
  </si>
  <si>
    <t>FIDEICOMISO TITULARIZACION OMNI HOSPITAL</t>
  </si>
  <si>
    <t>OMNI HOSPITAL</t>
  </si>
  <si>
    <t>0992516968001</t>
  </si>
  <si>
    <t xml:space="preserve">FULLCARE MEDICAL S.A. </t>
  </si>
  <si>
    <t>CLINICA DEL PACIFICO</t>
  </si>
  <si>
    <t>0992454407001</t>
  </si>
  <si>
    <t>INTERHOSPITAL S.A</t>
  </si>
  <si>
    <t>INTERHOSPITAL</t>
  </si>
  <si>
    <t>0990967946001</t>
  </si>
  <si>
    <t>JUNTA DE BENEFICENCIA DE GUAYAQUIL</t>
  </si>
  <si>
    <t>HOSPITAL LUIS VERNAZA</t>
  </si>
  <si>
    <t>0992330023001</t>
  </si>
  <si>
    <t>Milyk S.A.</t>
  </si>
  <si>
    <t>CLINICA LA UNION</t>
  </si>
  <si>
    <t>0993287881001</t>
  </si>
  <si>
    <t>SERVIUEES</t>
  </si>
  <si>
    <t>0992238208001</t>
  </si>
  <si>
    <t xml:space="preserve">SOLCA </t>
  </si>
  <si>
    <t>0991339000001</t>
  </si>
  <si>
    <t>TAYANA S.A.</t>
  </si>
  <si>
    <t>CLINICA ALCIVAR*</t>
  </si>
  <si>
    <t>0990277583001</t>
  </si>
  <si>
    <t>TEOTON SERVICIOS DE SALUD S.A.S.</t>
  </si>
  <si>
    <t>CLINICA KENNEDY POLICENTRO</t>
  </si>
  <si>
    <t>CLINICA KENNEDY SAMBORONDON</t>
  </si>
  <si>
    <t>0917275448001</t>
  </si>
  <si>
    <t>LENIN PEREZ CHAGERBEN</t>
  </si>
  <si>
    <t>0993208027001</t>
  </si>
  <si>
    <t xml:space="preserve"> T &amp; D SALUD Y BIENESTAR T&amp;DSALUDYBIENESTAR S.A.</t>
  </si>
  <si>
    <t>0992674237001</t>
  </si>
  <si>
    <t>GALPE S.A.</t>
  </si>
  <si>
    <t>SUR HOSPITAL</t>
  </si>
  <si>
    <t>9999999999999</t>
  </si>
  <si>
    <t>AMEVET</t>
  </si>
  <si>
    <t>0993199478001</t>
  </si>
  <si>
    <t>GALENO-AE SA</t>
  </si>
  <si>
    <t>CLINICA BAJAÑA</t>
  </si>
  <si>
    <t>0991475214001</t>
  </si>
  <si>
    <t xml:space="preserve">SERVICIOS HOSPITALARIOS S.A. ALBOTEOTON </t>
  </si>
  <si>
    <t>CLINICA KENNEDY ALBORADA</t>
  </si>
  <si>
    <t>0992717920001</t>
  </si>
  <si>
    <t>GALOSTAR S.A.</t>
  </si>
  <si>
    <t>CLINICA RENDON</t>
  </si>
  <si>
    <t>0900846775001</t>
  </si>
  <si>
    <t>SANCHEZ VILLALTA LUIS SEGUNDO</t>
  </si>
  <si>
    <t>CLINICA SANCHEZ VILLALLTA</t>
  </si>
  <si>
    <t>CLINICA SAINT JOSEPH</t>
  </si>
  <si>
    <t>0968521340001</t>
  </si>
  <si>
    <t>HOSPITAL LEON BECERRA MILAGRO</t>
  </si>
  <si>
    <t>HOSPITAL DE LA POLICIA NACIONAL</t>
  </si>
  <si>
    <t>0956629844001</t>
  </si>
  <si>
    <t>PINEDA CORAL BENHUR ALEJANDRO</t>
  </si>
  <si>
    <t>OPTIMAMEDICAL</t>
  </si>
  <si>
    <t>Dirección</t>
  </si>
  <si>
    <t>PADRE AGUIRRE 401 Y GRAL. CORDOVA</t>
  </si>
  <si>
    <t>AV. ALEJANDRO ANDRADE COELLO Y JUAN ROLANDO</t>
  </si>
  <si>
    <t>Mz. 737, Solar 5, 6to Retorno 17 N-E, Guayaquil</t>
  </si>
  <si>
    <t>KENNEDY NORTE calle NAHIN ISAIAS Y LUIS ORRANTIA</t>
  </si>
  <si>
    <t>LOS RIOS / BABAHOYO / DR. CAMILO PONCE / RICAURTE 209 Y GENERAL BARONA Y 10 DE AGOSTO</t>
  </si>
  <si>
    <t>PANAMA 616 Y ROCA</t>
  </si>
  <si>
    <t>LORENZO DE GARAICOA 3209 Y ARGENTINA</t>
  </si>
  <si>
    <t>AV. IGNACIO ROBLES Y FRANCISCO ORELLANA</t>
  </si>
  <si>
    <t>CORONEL 2301 ENTRE CANAR Y AZUAY</t>
  </si>
  <si>
    <t>AV. ROMEO CASTILLO S/N Y AV. JUAN TANCA MARENGO</t>
  </si>
  <si>
    <t>CDLA. VISTA ALEGRE, AV.PAQUISHA S/N AV. PRINCIPAL</t>
  </si>
  <si>
    <t>AVDA DEL BOMBERO KM 6.5 VIA A LA COSTA</t>
  </si>
  <si>
    <t>VELEZ 109 Y PEDRO CARBO</t>
  </si>
  <si>
    <t>Alborada 6 etapa #670 fco. Orellana</t>
  </si>
  <si>
    <t>URBANIZACION TORNERO 3 MZ 6 SOLAR 15-16- URBANIZACION TORNERO 3 MZ 6 SOLAR 15-16-17</t>
  </si>
  <si>
    <t>AVENIDA  PEDRO MENENDEZ GILBERT S/N  JUNTO A LA CDLA.  ATARAZANA</t>
  </si>
  <si>
    <t>CHIMBORAZO 3310 Y AZUAY</t>
  </si>
  <si>
    <t>AV DEL PERODISTA Y CALLE 11A</t>
  </si>
  <si>
    <t>KM 1,5 VIA A SAMBORONDON</t>
  </si>
  <si>
    <t>Pedro Pablo Gomez 122 entre 6 de marzo y Lorenzo de garaicoa</t>
  </si>
  <si>
    <t>Jose Mascote 2123 Huancavilva - Capitan Najera</t>
  </si>
  <si>
    <t>Guayaquil</t>
  </si>
  <si>
    <t>MILAGRO AV. JULIO VITERI GAMBOA S/N Y DR. ANGEL FELECISIMO ROJAS</t>
  </si>
  <si>
    <t>CROTOS Y AVENIDA RODOLFO BAQUERIZO NAZUR</t>
  </si>
  <si>
    <t>Av. Ignacio Cuesta 414 Calle Octava (Miraflores)</t>
  </si>
  <si>
    <t>AV. BABAHOYO 435, CRISTOBAL COLON</t>
  </si>
  <si>
    <t xml:space="preserve">MILAGRO   </t>
  </si>
  <si>
    <t>Mucho Lote 3050, Piso 3 Guayaquil</t>
  </si>
  <si>
    <t>Palmora plaza, av. León Febres Cordero Ribadeneira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</si>
</sst>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[$-C0A]d\ &quot;de&quot;\ mmmm\ &quot;de&quot;\ yyyy;@"/>
    <numFmt numFmtId="169" formatCode="_ &quot;$&quot;* #,##0_ ;_ &quot;$&quot;* \-#,##0_ ;_ &quot;$&quot;* &quot;-&quot;_ ;_ @_ "/>
    <numFmt numFmtId="170" formatCode="&quot;$&quot;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19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19" fillId="0" borderId="1" xfId="0" applyNumberFormat="1" applyFont="1" applyBorder="1" applyAlignment="1" applyProtection="1">
      <alignment vertical="center" wrapText="1"/>
      <protection locked="0"/>
    </xf>
    <xf numFmtId="0" fontId="21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168" fontId="9" fillId="0" borderId="1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7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2" fillId="0" borderId="0" xfId="0" applyFont="1"/>
    <xf numFmtId="0" fontId="18" fillId="4" borderId="1" xfId="0" applyFont="1" applyFill="1" applyBorder="1" applyAlignment="1">
      <alignment horizontal="center" wrapText="1"/>
    </xf>
    <xf numFmtId="0" fontId="18" fillId="4" borderId="1" xfId="0" applyFont="1" applyFill="1" applyBorder="1" applyAlignment="1">
      <alignment horizontal="center"/>
    </xf>
    <xf numFmtId="0" fontId="24" fillId="8" borderId="1" xfId="0" applyFont="1" applyFill="1" applyBorder="1" applyAlignment="1" applyProtection="1">
      <alignment horizontal="center" wrapText="1" readingOrder="1"/>
      <protection locked="0"/>
    </xf>
    <xf numFmtId="0" fontId="24" fillId="8" borderId="1" xfId="0" applyFont="1" applyFill="1" applyBorder="1" applyAlignment="1" applyProtection="1">
      <alignment horizontal="center" vertical="center" wrapText="1" readingOrder="1"/>
      <protection locked="0"/>
    </xf>
    <xf numFmtId="49" fontId="1" fillId="5" borderId="1" xfId="0" applyNumberFormat="1" applyFont="1" applyFill="1" applyBorder="1" applyAlignment="1">
      <alignment horizontal="center"/>
    </xf>
    <xf numFmtId="0" fontId="25" fillId="5" borderId="1" xfId="0" applyFont="1" applyFill="1" applyBorder="1"/>
    <xf numFmtId="0" fontId="25" fillId="0" borderId="1" xfId="0" applyFont="1" applyBorder="1" applyAlignment="1" applyProtection="1">
      <alignment horizontal="center" wrapText="1" readingOrder="1"/>
      <protection locked="0"/>
    </xf>
    <xf numFmtId="0" fontId="25" fillId="0" borderId="1" xfId="0" applyFont="1" applyBorder="1" applyAlignment="1" applyProtection="1">
      <alignment wrapText="1" readingOrder="1"/>
      <protection locked="0"/>
    </xf>
    <xf numFmtId="170" fontId="25" fillId="0" borderId="1" xfId="7" applyNumberFormat="1" applyFont="1" applyBorder="1" applyAlignment="1">
      <alignment horizontal="right"/>
    </xf>
    <xf numFmtId="0" fontId="24" fillId="0" borderId="1" xfId="0" applyFont="1" applyBorder="1" applyAlignment="1" applyProtection="1">
      <alignment horizontal="center" wrapText="1" readingOrder="1"/>
      <protection locked="0"/>
    </xf>
    <xf numFmtId="0" fontId="25" fillId="0" borderId="1" xfId="0" applyFont="1" applyBorder="1" applyAlignment="1" applyProtection="1">
      <alignment horizontal="left" wrapText="1" readingOrder="1"/>
      <protection locked="0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5" fillId="0" borderId="1" xfId="0" applyFont="1" applyBorder="1"/>
    <xf numFmtId="0" fontId="1" fillId="2" borderId="1" xfId="0" applyFont="1" applyFill="1" applyBorder="1"/>
    <xf numFmtId="0" fontId="25" fillId="2" borderId="1" xfId="0" applyFont="1" applyFill="1" applyBorder="1"/>
    <xf numFmtId="0" fontId="1" fillId="7" borderId="1" xfId="0" applyFont="1" applyFill="1" applyBorder="1"/>
    <xf numFmtId="49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8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0" fontId="1" fillId="0" borderId="1" xfId="1" applyFont="1" applyBorder="1" applyAlignment="1">
      <alignment horizontal="center"/>
    </xf>
    <xf numFmtId="0" fontId="25" fillId="0" borderId="1" xfId="0" applyFont="1" applyBorder="1" applyAlignment="1" applyProtection="1">
      <alignment horizontal="left" readingOrder="1"/>
      <protection locked="0"/>
    </xf>
    <xf numFmtId="0" fontId="18" fillId="0" borderId="1" xfId="1" applyFont="1" applyBorder="1" applyAlignment="1">
      <alignment horizontal="center"/>
    </xf>
    <xf numFmtId="0" fontId="1" fillId="0" borderId="1" xfId="0" applyFont="1" applyBorder="1"/>
    <xf numFmtId="0" fontId="25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5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70" fontId="18" fillId="0" borderId="0" xfId="1" applyNumberFormat="1" applyFont="1" applyAlignment="1">
      <alignment wrapText="1"/>
    </xf>
    <xf numFmtId="0" fontId="25" fillId="0" borderId="0" xfId="0" applyFont="1"/>
    <xf numFmtId="0" fontId="18" fillId="0" borderId="0" xfId="0" applyFont="1" applyAlignment="1">
      <alignment horizontal="center"/>
    </xf>
    <xf numFmtId="0" fontId="18" fillId="0" borderId="0" xfId="0" applyFont="1"/>
    <xf numFmtId="0" fontId="18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5" fillId="0" borderId="1" xfId="0" applyFont="1" applyBorder="1" applyAlignment="1">
      <alignment horizontal="center"/>
    </xf>
    <xf numFmtId="0" fontId="18" fillId="0" borderId="10" xfId="0" applyFont="1" applyBorder="1" applyAlignment="1">
      <alignment horizontal="left"/>
    </xf>
    <xf numFmtId="0" fontId="25" fillId="0" borderId="0" xfId="0" applyFont="1" applyAlignment="1" applyProtection="1">
      <alignment wrapText="1" readingOrder="1"/>
      <protection locked="0"/>
    </xf>
    <xf numFmtId="164" fontId="25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4" fillId="0" borderId="0" xfId="0" applyFont="1" applyAlignment="1">
      <alignment horizontal="right" wrapText="1"/>
    </xf>
    <xf numFmtId="0" fontId="25" fillId="0" borderId="0" xfId="0" applyFont="1" applyAlignment="1">
      <alignment wrapText="1"/>
    </xf>
    <xf numFmtId="0" fontId="0" fillId="0" borderId="0" xfId="0" applyFont="1"/>
    <xf numFmtId="0" fontId="24" fillId="0" borderId="0" xfId="0" applyFont="1" applyAlignment="1">
      <alignment horizontal="left"/>
    </xf>
    <xf numFmtId="0" fontId="24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5" fillId="0" borderId="0" xfId="0" applyFont="1" applyProtection="1">
      <protection locked="0"/>
    </xf>
    <xf numFmtId="0" fontId="25" fillId="0" borderId="0" xfId="0" applyFont="1" applyAlignment="1">
      <alignment horizontal="left"/>
    </xf>
    <xf numFmtId="0" fontId="25" fillId="0" borderId="0" xfId="0" applyFont="1" applyAlignment="1" applyProtection="1">
      <alignment horizontal="left"/>
      <protection locked="0"/>
    </xf>
    <xf numFmtId="170" fontId="1" fillId="0" borderId="1" xfId="12" applyNumberFormat="1" applyFont="1" applyBorder="1" applyAlignment="1">
      <alignment horizontal="right"/>
    </xf>
    <xf numFmtId="170" fontId="18" fillId="0" borderId="0" xfId="12" applyNumberFormat="1" applyFont="1" applyBorder="1" applyAlignment="1"/>
    <xf numFmtId="49" fontId="11" fillId="0" borderId="1" xfId="0" applyNumberFormat="1" applyFont="1" applyBorder="1" applyAlignment="1">
      <alignment horizontal="center"/>
    </xf>
    <xf numFmtId="0" fontId="1" fillId="0" borderId="3" xfId="0" applyFont="1" applyBorder="1"/>
    <xf numFmtId="0" fontId="1" fillId="0" borderId="0" xfId="0" applyFont="1"/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top"/>
    </xf>
    <xf numFmtId="170" fontId="13" fillId="0" borderId="1" xfId="13" applyNumberFormat="1" applyFont="1" applyBorder="1" applyAlignment="1"/>
    <xf numFmtId="170" fontId="23" fillId="0" borderId="0" xfId="1" applyNumberFormat="1" applyFont="1" applyAlignment="1">
      <alignment wrapText="1"/>
    </xf>
    <xf numFmtId="170" fontId="23" fillId="0" borderId="0" xfId="1" applyNumberFormat="1" applyFont="1"/>
    <xf numFmtId="49" fontId="26" fillId="9" borderId="1" xfId="0" applyNumberFormat="1" applyFont="1" applyFill="1" applyBorder="1"/>
    <xf numFmtId="49" fontId="27" fillId="0" borderId="1" xfId="0" applyNumberFormat="1" applyFont="1" applyBorder="1"/>
    <xf numFmtId="0" fontId="27" fillId="0" borderId="1" xfId="0" applyFont="1" applyBorder="1"/>
    <xf numFmtId="49" fontId="0" fillId="0" borderId="1" xfId="0" applyNumberFormat="1" applyBorder="1"/>
    <xf numFmtId="49" fontId="3" fillId="0" borderId="1" xfId="0" applyNumberFormat="1" applyFont="1" applyBorder="1"/>
    <xf numFmtId="0" fontId="0" fillId="0" borderId="1" xfId="0" applyBorder="1"/>
    <xf numFmtId="0" fontId="9" fillId="10" borderId="1" xfId="0" applyFont="1" applyFill="1" applyBorder="1" applyAlignment="1" applyProtection="1">
      <alignment vertical="center"/>
      <protection locked="0"/>
    </xf>
    <xf numFmtId="0" fontId="9" fillId="11" borderId="1" xfId="0" applyFont="1" applyFill="1" applyBorder="1" applyAlignment="1" applyProtection="1">
      <alignment vertical="center" wrapText="1"/>
      <protection locked="0"/>
    </xf>
    <xf numFmtId="0" fontId="28" fillId="12" borderId="1" xfId="0" applyFont="1" applyFill="1" applyBorder="1" applyAlignment="1" applyProtection="1">
      <alignment vertical="center" wrapText="1"/>
      <protection locked="0"/>
    </xf>
    <xf numFmtId="0" fontId="9" fillId="0" borderId="1" xfId="0" applyFont="1" applyBorder="1"/>
    <xf numFmtId="0" fontId="18" fillId="0" borderId="11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horizontal="left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4">
    <cellStyle name="Moneda [0] 2" xfId="9"/>
    <cellStyle name="Moneda 2" xfId="3"/>
    <cellStyle name="Moneda 3" xfId="11"/>
    <cellStyle name="Moneda 3 2" xfId="2"/>
    <cellStyle name="Moneda 3 2 2" xfId="6"/>
    <cellStyle name="Moneda 3 2 3" xfId="7"/>
    <cellStyle name="Moneda 4" xfId="8"/>
    <cellStyle name="Moneda 5" xfId="10"/>
    <cellStyle name="Moneda 6" xfId="12"/>
    <cellStyle name="Moneda 7" xfId="13"/>
    <cellStyle name="Normal" xfId="0" builtinId="0"/>
    <cellStyle name="Normal 2" xfId="1"/>
    <cellStyle name="Normal 3" xfId="5"/>
    <cellStyle name="Normal 3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34F7F124-0E22-447D-B349-429257CC53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Buscar" textlink="">
      <xdr:nvSpPr>
        <xdr:cNvPr id="2" name="Marco 1"/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O217"/>
  <sheetViews>
    <sheetView showGridLines="0" tabSelected="1" zoomScale="80" zoomScaleNormal="80" zoomScaleSheetLayoutView="100" zoomScalePageLayoutView="80" workbookViewId="0">
      <pane xSplit="2" ySplit="9" topLeftCell="C19" activePane="bottomRight" state="frozen"/>
      <selection pane="topRight" activeCell="C1" sqref="C1"/>
      <selection pane="bottomLeft" activeCell="A10" sqref="A10"/>
      <selection pane="bottomRight" activeCell="C9" sqref="C9"/>
    </sheetView>
  </sheetViews>
  <sheetFormatPr baseColWidth="10" defaultColWidth="11.42578125" defaultRowHeight="20.100000000000001" customHeight="1" x14ac:dyDescent="0.2"/>
  <cols>
    <col min="1" max="1" width="18.85546875" style="11" customWidth="1"/>
    <col min="2" max="2" width="16" style="36" customWidth="1"/>
    <col min="3" max="3" width="86.7109375" style="35" bestFit="1" customWidth="1"/>
    <col min="4" max="4" width="19.85546875" style="35" customWidth="1"/>
    <col min="5" max="5" width="17.85546875" style="35" customWidth="1"/>
    <col min="6" max="6" width="16.28515625" style="11" customWidth="1"/>
    <col min="7" max="7" width="15.85546875" style="11" customWidth="1"/>
    <col min="8" max="8" width="1.42578125" style="11" customWidth="1"/>
    <col min="9" max="9" width="26.28515625" style="11" customWidth="1"/>
    <col min="10" max="10" width="5.85546875" style="11" customWidth="1"/>
    <col min="11" max="11" width="72.42578125" style="11" bestFit="1" customWidth="1"/>
    <col min="12" max="12" width="11.42578125" style="11"/>
    <col min="13" max="13" width="14.42578125" style="11" bestFit="1" customWidth="1"/>
    <col min="14" max="14" width="50.140625" style="11" bestFit="1" customWidth="1"/>
    <col min="15" max="259" width="11.42578125" style="11"/>
    <col min="260" max="260" width="13.140625" style="11" customWidth="1"/>
    <col min="261" max="261" width="15.140625" style="11" customWidth="1"/>
    <col min="262" max="262" width="42" style="11" customWidth="1"/>
    <col min="263" max="263" width="11.42578125" style="11"/>
    <col min="264" max="264" width="13.140625" style="11" customWidth="1"/>
    <col min="265" max="515" width="11.42578125" style="11"/>
    <col min="516" max="516" width="13.140625" style="11" customWidth="1"/>
    <col min="517" max="517" width="15.140625" style="11" customWidth="1"/>
    <col min="518" max="518" width="42" style="11" customWidth="1"/>
    <col min="519" max="519" width="11.42578125" style="11"/>
    <col min="520" max="520" width="13.140625" style="11" customWidth="1"/>
    <col min="521" max="771" width="11.42578125" style="11"/>
    <col min="772" max="772" width="13.140625" style="11" customWidth="1"/>
    <col min="773" max="773" width="15.140625" style="11" customWidth="1"/>
    <col min="774" max="774" width="42" style="11" customWidth="1"/>
    <col min="775" max="775" width="11.42578125" style="11"/>
    <col min="776" max="776" width="13.140625" style="11" customWidth="1"/>
    <col min="777" max="1027" width="11.42578125" style="11"/>
    <col min="1028" max="1028" width="13.140625" style="11" customWidth="1"/>
    <col min="1029" max="1029" width="15.140625" style="11" customWidth="1"/>
    <col min="1030" max="1030" width="42" style="11" customWidth="1"/>
    <col min="1031" max="1031" width="11.42578125" style="11"/>
    <col min="1032" max="1032" width="13.140625" style="11" customWidth="1"/>
    <col min="1033" max="1283" width="11.42578125" style="11"/>
    <col min="1284" max="1284" width="13.140625" style="11" customWidth="1"/>
    <col min="1285" max="1285" width="15.140625" style="11" customWidth="1"/>
    <col min="1286" max="1286" width="42" style="11" customWidth="1"/>
    <col min="1287" max="1287" width="11.42578125" style="11"/>
    <col min="1288" max="1288" width="13.140625" style="11" customWidth="1"/>
    <col min="1289" max="1539" width="11.42578125" style="11"/>
    <col min="1540" max="1540" width="13.140625" style="11" customWidth="1"/>
    <col min="1541" max="1541" width="15.140625" style="11" customWidth="1"/>
    <col min="1542" max="1542" width="42" style="11" customWidth="1"/>
    <col min="1543" max="1543" width="11.42578125" style="11"/>
    <col min="1544" max="1544" width="13.140625" style="11" customWidth="1"/>
    <col min="1545" max="1795" width="11.42578125" style="11"/>
    <col min="1796" max="1796" width="13.140625" style="11" customWidth="1"/>
    <col min="1797" max="1797" width="15.140625" style="11" customWidth="1"/>
    <col min="1798" max="1798" width="42" style="11" customWidth="1"/>
    <col min="1799" max="1799" width="11.42578125" style="11"/>
    <col min="1800" max="1800" width="13.140625" style="11" customWidth="1"/>
    <col min="1801" max="2051" width="11.42578125" style="11"/>
    <col min="2052" max="2052" width="13.140625" style="11" customWidth="1"/>
    <col min="2053" max="2053" width="15.140625" style="11" customWidth="1"/>
    <col min="2054" max="2054" width="42" style="11" customWidth="1"/>
    <col min="2055" max="2055" width="11.42578125" style="11"/>
    <col min="2056" max="2056" width="13.140625" style="11" customWidth="1"/>
    <col min="2057" max="2307" width="11.42578125" style="11"/>
    <col min="2308" max="2308" width="13.140625" style="11" customWidth="1"/>
    <col min="2309" max="2309" width="15.140625" style="11" customWidth="1"/>
    <col min="2310" max="2310" width="42" style="11" customWidth="1"/>
    <col min="2311" max="2311" width="11.42578125" style="11"/>
    <col min="2312" max="2312" width="13.140625" style="11" customWidth="1"/>
    <col min="2313" max="2563" width="11.42578125" style="11"/>
    <col min="2564" max="2564" width="13.140625" style="11" customWidth="1"/>
    <col min="2565" max="2565" width="15.140625" style="11" customWidth="1"/>
    <col min="2566" max="2566" width="42" style="11" customWidth="1"/>
    <col min="2567" max="2567" width="11.42578125" style="11"/>
    <col min="2568" max="2568" width="13.140625" style="11" customWidth="1"/>
    <col min="2569" max="2819" width="11.42578125" style="11"/>
    <col min="2820" max="2820" width="13.140625" style="11" customWidth="1"/>
    <col min="2821" max="2821" width="15.140625" style="11" customWidth="1"/>
    <col min="2822" max="2822" width="42" style="11" customWidth="1"/>
    <col min="2823" max="2823" width="11.42578125" style="11"/>
    <col min="2824" max="2824" width="13.140625" style="11" customWidth="1"/>
    <col min="2825" max="3075" width="11.42578125" style="11"/>
    <col min="3076" max="3076" width="13.140625" style="11" customWidth="1"/>
    <col min="3077" max="3077" width="15.140625" style="11" customWidth="1"/>
    <col min="3078" max="3078" width="42" style="11" customWidth="1"/>
    <col min="3079" max="3079" width="11.42578125" style="11"/>
    <col min="3080" max="3080" width="13.140625" style="11" customWidth="1"/>
    <col min="3081" max="3331" width="11.42578125" style="11"/>
    <col min="3332" max="3332" width="13.140625" style="11" customWidth="1"/>
    <col min="3333" max="3333" width="15.140625" style="11" customWidth="1"/>
    <col min="3334" max="3334" width="42" style="11" customWidth="1"/>
    <col min="3335" max="3335" width="11.42578125" style="11"/>
    <col min="3336" max="3336" width="13.140625" style="11" customWidth="1"/>
    <col min="3337" max="3587" width="11.42578125" style="11"/>
    <col min="3588" max="3588" width="13.140625" style="11" customWidth="1"/>
    <col min="3589" max="3589" width="15.140625" style="11" customWidth="1"/>
    <col min="3590" max="3590" width="42" style="11" customWidth="1"/>
    <col min="3591" max="3591" width="11.42578125" style="11"/>
    <col min="3592" max="3592" width="13.140625" style="11" customWidth="1"/>
    <col min="3593" max="3843" width="11.42578125" style="11"/>
    <col min="3844" max="3844" width="13.140625" style="11" customWidth="1"/>
    <col min="3845" max="3845" width="15.140625" style="11" customWidth="1"/>
    <col min="3846" max="3846" width="42" style="11" customWidth="1"/>
    <col min="3847" max="3847" width="11.42578125" style="11"/>
    <col min="3848" max="3848" width="13.140625" style="11" customWidth="1"/>
    <col min="3849" max="4099" width="11.42578125" style="11"/>
    <col min="4100" max="4100" width="13.140625" style="11" customWidth="1"/>
    <col min="4101" max="4101" width="15.140625" style="11" customWidth="1"/>
    <col min="4102" max="4102" width="42" style="11" customWidth="1"/>
    <col min="4103" max="4103" width="11.42578125" style="11"/>
    <col min="4104" max="4104" width="13.140625" style="11" customWidth="1"/>
    <col min="4105" max="4355" width="11.42578125" style="11"/>
    <col min="4356" max="4356" width="13.140625" style="11" customWidth="1"/>
    <col min="4357" max="4357" width="15.140625" style="11" customWidth="1"/>
    <col min="4358" max="4358" width="42" style="11" customWidth="1"/>
    <col min="4359" max="4359" width="11.42578125" style="11"/>
    <col min="4360" max="4360" width="13.140625" style="11" customWidth="1"/>
    <col min="4361" max="4611" width="11.42578125" style="11"/>
    <col min="4612" max="4612" width="13.140625" style="11" customWidth="1"/>
    <col min="4613" max="4613" width="15.140625" style="11" customWidth="1"/>
    <col min="4614" max="4614" width="42" style="11" customWidth="1"/>
    <col min="4615" max="4615" width="11.42578125" style="11"/>
    <col min="4616" max="4616" width="13.140625" style="11" customWidth="1"/>
    <col min="4617" max="4867" width="11.42578125" style="11"/>
    <col min="4868" max="4868" width="13.140625" style="11" customWidth="1"/>
    <col min="4869" max="4869" width="15.140625" style="11" customWidth="1"/>
    <col min="4870" max="4870" width="42" style="11" customWidth="1"/>
    <col min="4871" max="4871" width="11.42578125" style="11"/>
    <col min="4872" max="4872" width="13.140625" style="11" customWidth="1"/>
    <col min="4873" max="5123" width="11.42578125" style="11"/>
    <col min="5124" max="5124" width="13.140625" style="11" customWidth="1"/>
    <col min="5125" max="5125" width="15.140625" style="11" customWidth="1"/>
    <col min="5126" max="5126" width="42" style="11" customWidth="1"/>
    <col min="5127" max="5127" width="11.42578125" style="11"/>
    <col min="5128" max="5128" width="13.140625" style="11" customWidth="1"/>
    <col min="5129" max="5379" width="11.42578125" style="11"/>
    <col min="5380" max="5380" width="13.140625" style="11" customWidth="1"/>
    <col min="5381" max="5381" width="15.140625" style="11" customWidth="1"/>
    <col min="5382" max="5382" width="42" style="11" customWidth="1"/>
    <col min="5383" max="5383" width="11.42578125" style="11"/>
    <col min="5384" max="5384" width="13.140625" style="11" customWidth="1"/>
    <col min="5385" max="5635" width="11.42578125" style="11"/>
    <col min="5636" max="5636" width="13.140625" style="11" customWidth="1"/>
    <col min="5637" max="5637" width="15.140625" style="11" customWidth="1"/>
    <col min="5638" max="5638" width="42" style="11" customWidth="1"/>
    <col min="5639" max="5639" width="11.42578125" style="11"/>
    <col min="5640" max="5640" width="13.140625" style="11" customWidth="1"/>
    <col min="5641" max="5891" width="11.42578125" style="11"/>
    <col min="5892" max="5892" width="13.140625" style="11" customWidth="1"/>
    <col min="5893" max="5893" width="15.140625" style="11" customWidth="1"/>
    <col min="5894" max="5894" width="42" style="11" customWidth="1"/>
    <col min="5895" max="5895" width="11.42578125" style="11"/>
    <col min="5896" max="5896" width="13.140625" style="11" customWidth="1"/>
    <col min="5897" max="6147" width="11.42578125" style="11"/>
    <col min="6148" max="6148" width="13.140625" style="11" customWidth="1"/>
    <col min="6149" max="6149" width="15.140625" style="11" customWidth="1"/>
    <col min="6150" max="6150" width="42" style="11" customWidth="1"/>
    <col min="6151" max="6151" width="11.42578125" style="11"/>
    <col min="6152" max="6152" width="13.140625" style="11" customWidth="1"/>
    <col min="6153" max="6403" width="11.42578125" style="11"/>
    <col min="6404" max="6404" width="13.140625" style="11" customWidth="1"/>
    <col min="6405" max="6405" width="15.140625" style="11" customWidth="1"/>
    <col min="6406" max="6406" width="42" style="11" customWidth="1"/>
    <col min="6407" max="6407" width="11.42578125" style="11"/>
    <col min="6408" max="6408" width="13.140625" style="11" customWidth="1"/>
    <col min="6409" max="6659" width="11.42578125" style="11"/>
    <col min="6660" max="6660" width="13.140625" style="11" customWidth="1"/>
    <col min="6661" max="6661" width="15.140625" style="11" customWidth="1"/>
    <col min="6662" max="6662" width="42" style="11" customWidth="1"/>
    <col min="6663" max="6663" width="11.42578125" style="11"/>
    <col min="6664" max="6664" width="13.140625" style="11" customWidth="1"/>
    <col min="6665" max="6915" width="11.42578125" style="11"/>
    <col min="6916" max="6916" width="13.140625" style="11" customWidth="1"/>
    <col min="6917" max="6917" width="15.140625" style="11" customWidth="1"/>
    <col min="6918" max="6918" width="42" style="11" customWidth="1"/>
    <col min="6919" max="6919" width="11.42578125" style="11"/>
    <col min="6920" max="6920" width="13.140625" style="11" customWidth="1"/>
    <col min="6921" max="7171" width="11.42578125" style="11"/>
    <col min="7172" max="7172" width="13.140625" style="11" customWidth="1"/>
    <col min="7173" max="7173" width="15.140625" style="11" customWidth="1"/>
    <col min="7174" max="7174" width="42" style="11" customWidth="1"/>
    <col min="7175" max="7175" width="11.42578125" style="11"/>
    <col min="7176" max="7176" width="13.140625" style="11" customWidth="1"/>
    <col min="7177" max="7427" width="11.42578125" style="11"/>
    <col min="7428" max="7428" width="13.140625" style="11" customWidth="1"/>
    <col min="7429" max="7429" width="15.140625" style="11" customWidth="1"/>
    <col min="7430" max="7430" width="42" style="11" customWidth="1"/>
    <col min="7431" max="7431" width="11.42578125" style="11"/>
    <col min="7432" max="7432" width="13.140625" style="11" customWidth="1"/>
    <col min="7433" max="7683" width="11.42578125" style="11"/>
    <col min="7684" max="7684" width="13.140625" style="11" customWidth="1"/>
    <col min="7685" max="7685" width="15.140625" style="11" customWidth="1"/>
    <col min="7686" max="7686" width="42" style="11" customWidth="1"/>
    <col min="7687" max="7687" width="11.42578125" style="11"/>
    <col min="7688" max="7688" width="13.140625" style="11" customWidth="1"/>
    <col min="7689" max="7939" width="11.42578125" style="11"/>
    <col min="7940" max="7940" width="13.140625" style="11" customWidth="1"/>
    <col min="7941" max="7941" width="15.140625" style="11" customWidth="1"/>
    <col min="7942" max="7942" width="42" style="11" customWidth="1"/>
    <col min="7943" max="7943" width="11.42578125" style="11"/>
    <col min="7944" max="7944" width="13.140625" style="11" customWidth="1"/>
    <col min="7945" max="8195" width="11.42578125" style="11"/>
    <col min="8196" max="8196" width="13.140625" style="11" customWidth="1"/>
    <col min="8197" max="8197" width="15.140625" style="11" customWidth="1"/>
    <col min="8198" max="8198" width="42" style="11" customWidth="1"/>
    <col min="8199" max="8199" width="11.42578125" style="11"/>
    <col min="8200" max="8200" width="13.140625" style="11" customWidth="1"/>
    <col min="8201" max="8451" width="11.42578125" style="11"/>
    <col min="8452" max="8452" width="13.140625" style="11" customWidth="1"/>
    <col min="8453" max="8453" width="15.140625" style="11" customWidth="1"/>
    <col min="8454" max="8454" width="42" style="11" customWidth="1"/>
    <col min="8455" max="8455" width="11.42578125" style="11"/>
    <col min="8456" max="8456" width="13.140625" style="11" customWidth="1"/>
    <col min="8457" max="8707" width="11.42578125" style="11"/>
    <col min="8708" max="8708" width="13.140625" style="11" customWidth="1"/>
    <col min="8709" max="8709" width="15.140625" style="11" customWidth="1"/>
    <col min="8710" max="8710" width="42" style="11" customWidth="1"/>
    <col min="8711" max="8711" width="11.42578125" style="11"/>
    <col min="8712" max="8712" width="13.140625" style="11" customWidth="1"/>
    <col min="8713" max="8963" width="11.42578125" style="11"/>
    <col min="8964" max="8964" width="13.140625" style="11" customWidth="1"/>
    <col min="8965" max="8965" width="15.140625" style="11" customWidth="1"/>
    <col min="8966" max="8966" width="42" style="11" customWidth="1"/>
    <col min="8967" max="8967" width="11.42578125" style="11"/>
    <col min="8968" max="8968" width="13.140625" style="11" customWidth="1"/>
    <col min="8969" max="9219" width="11.42578125" style="11"/>
    <col min="9220" max="9220" width="13.140625" style="11" customWidth="1"/>
    <col min="9221" max="9221" width="15.140625" style="11" customWidth="1"/>
    <col min="9222" max="9222" width="42" style="11" customWidth="1"/>
    <col min="9223" max="9223" width="11.42578125" style="11"/>
    <col min="9224" max="9224" width="13.140625" style="11" customWidth="1"/>
    <col min="9225" max="9475" width="11.42578125" style="11"/>
    <col min="9476" max="9476" width="13.140625" style="11" customWidth="1"/>
    <col min="9477" max="9477" width="15.140625" style="11" customWidth="1"/>
    <col min="9478" max="9478" width="42" style="11" customWidth="1"/>
    <col min="9479" max="9479" width="11.42578125" style="11"/>
    <col min="9480" max="9480" width="13.140625" style="11" customWidth="1"/>
    <col min="9481" max="9731" width="11.42578125" style="11"/>
    <col min="9732" max="9732" width="13.140625" style="11" customWidth="1"/>
    <col min="9733" max="9733" width="15.140625" style="11" customWidth="1"/>
    <col min="9734" max="9734" width="42" style="11" customWidth="1"/>
    <col min="9735" max="9735" width="11.42578125" style="11"/>
    <col min="9736" max="9736" width="13.140625" style="11" customWidth="1"/>
    <col min="9737" max="9987" width="11.42578125" style="11"/>
    <col min="9988" max="9988" width="13.140625" style="11" customWidth="1"/>
    <col min="9989" max="9989" width="15.140625" style="11" customWidth="1"/>
    <col min="9990" max="9990" width="42" style="11" customWidth="1"/>
    <col min="9991" max="9991" width="11.42578125" style="11"/>
    <col min="9992" max="9992" width="13.140625" style="11" customWidth="1"/>
    <col min="9993" max="10243" width="11.42578125" style="11"/>
    <col min="10244" max="10244" width="13.140625" style="11" customWidth="1"/>
    <col min="10245" max="10245" width="15.140625" style="11" customWidth="1"/>
    <col min="10246" max="10246" width="42" style="11" customWidth="1"/>
    <col min="10247" max="10247" width="11.42578125" style="11"/>
    <col min="10248" max="10248" width="13.140625" style="11" customWidth="1"/>
    <col min="10249" max="10499" width="11.42578125" style="11"/>
    <col min="10500" max="10500" width="13.140625" style="11" customWidth="1"/>
    <col min="10501" max="10501" width="15.140625" style="11" customWidth="1"/>
    <col min="10502" max="10502" width="42" style="11" customWidth="1"/>
    <col min="10503" max="10503" width="11.42578125" style="11"/>
    <col min="10504" max="10504" width="13.140625" style="11" customWidth="1"/>
    <col min="10505" max="10755" width="11.42578125" style="11"/>
    <col min="10756" max="10756" width="13.140625" style="11" customWidth="1"/>
    <col min="10757" max="10757" width="15.140625" style="11" customWidth="1"/>
    <col min="10758" max="10758" width="42" style="11" customWidth="1"/>
    <col min="10759" max="10759" width="11.42578125" style="11"/>
    <col min="10760" max="10760" width="13.140625" style="11" customWidth="1"/>
    <col min="10761" max="11011" width="11.42578125" style="11"/>
    <col min="11012" max="11012" width="13.140625" style="11" customWidth="1"/>
    <col min="11013" max="11013" width="15.140625" style="11" customWidth="1"/>
    <col min="11014" max="11014" width="42" style="11" customWidth="1"/>
    <col min="11015" max="11015" width="11.42578125" style="11"/>
    <col min="11016" max="11016" width="13.140625" style="11" customWidth="1"/>
    <col min="11017" max="11267" width="11.42578125" style="11"/>
    <col min="11268" max="11268" width="13.140625" style="11" customWidth="1"/>
    <col min="11269" max="11269" width="15.140625" style="11" customWidth="1"/>
    <col min="11270" max="11270" width="42" style="11" customWidth="1"/>
    <col min="11271" max="11271" width="11.42578125" style="11"/>
    <col min="11272" max="11272" width="13.140625" style="11" customWidth="1"/>
    <col min="11273" max="11523" width="11.42578125" style="11"/>
    <col min="11524" max="11524" width="13.140625" style="11" customWidth="1"/>
    <col min="11525" max="11525" width="15.140625" style="11" customWidth="1"/>
    <col min="11526" max="11526" width="42" style="11" customWidth="1"/>
    <col min="11527" max="11527" width="11.42578125" style="11"/>
    <col min="11528" max="11528" width="13.140625" style="11" customWidth="1"/>
    <col min="11529" max="11779" width="11.42578125" style="11"/>
    <col min="11780" max="11780" width="13.140625" style="11" customWidth="1"/>
    <col min="11781" max="11781" width="15.140625" style="11" customWidth="1"/>
    <col min="11782" max="11782" width="42" style="11" customWidth="1"/>
    <col min="11783" max="11783" width="11.42578125" style="11"/>
    <col min="11784" max="11784" width="13.140625" style="11" customWidth="1"/>
    <col min="11785" max="12035" width="11.42578125" style="11"/>
    <col min="12036" max="12036" width="13.140625" style="11" customWidth="1"/>
    <col min="12037" max="12037" width="15.140625" style="11" customWidth="1"/>
    <col min="12038" max="12038" width="42" style="11" customWidth="1"/>
    <col min="12039" max="12039" width="11.42578125" style="11"/>
    <col min="12040" max="12040" width="13.140625" style="11" customWidth="1"/>
    <col min="12041" max="12291" width="11.42578125" style="11"/>
    <col min="12292" max="12292" width="13.140625" style="11" customWidth="1"/>
    <col min="12293" max="12293" width="15.140625" style="11" customWidth="1"/>
    <col min="12294" max="12294" width="42" style="11" customWidth="1"/>
    <col min="12295" max="12295" width="11.42578125" style="11"/>
    <col min="12296" max="12296" width="13.140625" style="11" customWidth="1"/>
    <col min="12297" max="12547" width="11.42578125" style="11"/>
    <col min="12548" max="12548" width="13.140625" style="11" customWidth="1"/>
    <col min="12549" max="12549" width="15.140625" style="11" customWidth="1"/>
    <col min="12550" max="12550" width="42" style="11" customWidth="1"/>
    <col min="12551" max="12551" width="11.42578125" style="11"/>
    <col min="12552" max="12552" width="13.140625" style="11" customWidth="1"/>
    <col min="12553" max="12803" width="11.42578125" style="11"/>
    <col min="12804" max="12804" width="13.140625" style="11" customWidth="1"/>
    <col min="12805" max="12805" width="15.140625" style="11" customWidth="1"/>
    <col min="12806" max="12806" width="42" style="11" customWidth="1"/>
    <col min="12807" max="12807" width="11.42578125" style="11"/>
    <col min="12808" max="12808" width="13.140625" style="11" customWidth="1"/>
    <col min="12809" max="13059" width="11.42578125" style="11"/>
    <col min="13060" max="13060" width="13.140625" style="11" customWidth="1"/>
    <col min="13061" max="13061" width="15.140625" style="11" customWidth="1"/>
    <col min="13062" max="13062" width="42" style="11" customWidth="1"/>
    <col min="13063" max="13063" width="11.42578125" style="11"/>
    <col min="13064" max="13064" width="13.140625" style="11" customWidth="1"/>
    <col min="13065" max="13315" width="11.42578125" style="11"/>
    <col min="13316" max="13316" width="13.140625" style="11" customWidth="1"/>
    <col min="13317" max="13317" width="15.140625" style="11" customWidth="1"/>
    <col min="13318" max="13318" width="42" style="11" customWidth="1"/>
    <col min="13319" max="13319" width="11.42578125" style="11"/>
    <col min="13320" max="13320" width="13.140625" style="11" customWidth="1"/>
    <col min="13321" max="13571" width="11.42578125" style="11"/>
    <col min="13572" max="13572" width="13.140625" style="11" customWidth="1"/>
    <col min="13573" max="13573" width="15.140625" style="11" customWidth="1"/>
    <col min="13574" max="13574" width="42" style="11" customWidth="1"/>
    <col min="13575" max="13575" width="11.42578125" style="11"/>
    <col min="13576" max="13576" width="13.140625" style="11" customWidth="1"/>
    <col min="13577" max="13827" width="11.42578125" style="11"/>
    <col min="13828" max="13828" width="13.140625" style="11" customWidth="1"/>
    <col min="13829" max="13829" width="15.140625" style="11" customWidth="1"/>
    <col min="13830" max="13830" width="42" style="11" customWidth="1"/>
    <col min="13831" max="13831" width="11.42578125" style="11"/>
    <col min="13832" max="13832" width="13.140625" style="11" customWidth="1"/>
    <col min="13833" max="14083" width="11.42578125" style="11"/>
    <col min="14084" max="14084" width="13.140625" style="11" customWidth="1"/>
    <col min="14085" max="14085" width="15.140625" style="11" customWidth="1"/>
    <col min="14086" max="14086" width="42" style="11" customWidth="1"/>
    <col min="14087" max="14087" width="11.42578125" style="11"/>
    <col min="14088" max="14088" width="13.140625" style="11" customWidth="1"/>
    <col min="14089" max="14339" width="11.42578125" style="11"/>
    <col min="14340" max="14340" width="13.140625" style="11" customWidth="1"/>
    <col min="14341" max="14341" width="15.140625" style="11" customWidth="1"/>
    <col min="14342" max="14342" width="42" style="11" customWidth="1"/>
    <col min="14343" max="14343" width="11.42578125" style="11"/>
    <col min="14344" max="14344" width="13.140625" style="11" customWidth="1"/>
    <col min="14345" max="14595" width="11.42578125" style="11"/>
    <col min="14596" max="14596" width="13.140625" style="11" customWidth="1"/>
    <col min="14597" max="14597" width="15.140625" style="11" customWidth="1"/>
    <col min="14598" max="14598" width="42" style="11" customWidth="1"/>
    <col min="14599" max="14599" width="11.42578125" style="11"/>
    <col min="14600" max="14600" width="13.140625" style="11" customWidth="1"/>
    <col min="14601" max="14851" width="11.42578125" style="11"/>
    <col min="14852" max="14852" width="13.140625" style="11" customWidth="1"/>
    <col min="14853" max="14853" width="15.140625" style="11" customWidth="1"/>
    <col min="14854" max="14854" width="42" style="11" customWidth="1"/>
    <col min="14855" max="14855" width="11.42578125" style="11"/>
    <col min="14856" max="14856" width="13.140625" style="11" customWidth="1"/>
    <col min="14857" max="15107" width="11.42578125" style="11"/>
    <col min="15108" max="15108" width="13.140625" style="11" customWidth="1"/>
    <col min="15109" max="15109" width="15.140625" style="11" customWidth="1"/>
    <col min="15110" max="15110" width="42" style="11" customWidth="1"/>
    <col min="15111" max="15111" width="11.42578125" style="11"/>
    <col min="15112" max="15112" width="13.140625" style="11" customWidth="1"/>
    <col min="15113" max="15363" width="11.42578125" style="11"/>
    <col min="15364" max="15364" width="13.140625" style="11" customWidth="1"/>
    <col min="15365" max="15365" width="15.140625" style="11" customWidth="1"/>
    <col min="15366" max="15366" width="42" style="11" customWidth="1"/>
    <col min="15367" max="15367" width="11.42578125" style="11"/>
    <col min="15368" max="15368" width="13.140625" style="11" customWidth="1"/>
    <col min="15369" max="15619" width="11.42578125" style="11"/>
    <col min="15620" max="15620" width="13.140625" style="11" customWidth="1"/>
    <col min="15621" max="15621" width="15.140625" style="11" customWidth="1"/>
    <col min="15622" max="15622" width="42" style="11" customWidth="1"/>
    <col min="15623" max="15623" width="11.42578125" style="11"/>
    <col min="15624" max="15624" width="13.140625" style="11" customWidth="1"/>
    <col min="15625" max="15875" width="11.42578125" style="11"/>
    <col min="15876" max="15876" width="13.140625" style="11" customWidth="1"/>
    <col min="15877" max="15877" width="15.140625" style="11" customWidth="1"/>
    <col min="15878" max="15878" width="42" style="11" customWidth="1"/>
    <col min="15879" max="15879" width="11.42578125" style="11"/>
    <col min="15880" max="15880" width="13.140625" style="11" customWidth="1"/>
    <col min="15881" max="16131" width="11.42578125" style="11"/>
    <col min="16132" max="16132" width="13.140625" style="11" customWidth="1"/>
    <col min="16133" max="16133" width="15.140625" style="11" customWidth="1"/>
    <col min="16134" max="16134" width="42" style="11" customWidth="1"/>
    <col min="16135" max="16135" width="11.42578125" style="11"/>
    <col min="16136" max="16136" width="13.140625" style="11" customWidth="1"/>
    <col min="16137" max="16384" width="11.42578125" style="11"/>
  </cols>
  <sheetData>
    <row r="2" spans="1:15" s="7" customFormat="1" ht="20.100000000000001" customHeight="1" x14ac:dyDescent="0.25">
      <c r="A2" s="2"/>
      <c r="B2" s="3"/>
      <c r="C2" s="120" t="s">
        <v>24</v>
      </c>
      <c r="D2" s="118" t="s">
        <v>23</v>
      </c>
      <c r="E2" s="118"/>
      <c r="F2" s="4"/>
      <c r="G2" s="4"/>
      <c r="H2" s="4"/>
      <c r="I2" s="4"/>
      <c r="J2" s="4"/>
      <c r="K2" s="5"/>
      <c r="L2" s="6"/>
    </row>
    <row r="3" spans="1:15" s="7" customFormat="1" ht="20.100000000000001" customHeight="1" x14ac:dyDescent="0.25">
      <c r="A3" s="8"/>
      <c r="B3" s="9"/>
      <c r="C3" s="120"/>
      <c r="D3" s="10" t="s">
        <v>26</v>
      </c>
      <c r="E3" s="10"/>
      <c r="F3" s="4"/>
      <c r="G3" s="11"/>
      <c r="H3" s="11"/>
      <c r="I3" s="11"/>
      <c r="J3" s="11"/>
      <c r="K3" s="11"/>
      <c r="L3" s="6"/>
    </row>
    <row r="4" spans="1:15" s="7" customFormat="1" ht="29.25" customHeight="1" x14ac:dyDescent="0.25">
      <c r="A4" s="8"/>
      <c r="B4" s="9"/>
      <c r="C4" s="119" t="s">
        <v>25</v>
      </c>
      <c r="D4" s="10" t="s">
        <v>34</v>
      </c>
      <c r="E4" s="12">
        <f ca="1">NOW()</f>
        <v>45307.611663888893</v>
      </c>
      <c r="F4" s="4"/>
      <c r="G4" s="11">
        <f>MATCH(C9,Hoja2!A:A,1)</f>
        <v>2</v>
      </c>
      <c r="H4" s="11"/>
      <c r="I4" s="13">
        <v>102</v>
      </c>
      <c r="J4" s="11"/>
      <c r="K4" s="11"/>
      <c r="L4" s="6"/>
    </row>
    <row r="5" spans="1:15" s="7" customFormat="1" ht="27.75" customHeight="1" x14ac:dyDescent="0.35">
      <c r="A5" s="14"/>
      <c r="B5" s="15"/>
      <c r="C5" s="119"/>
      <c r="D5" s="10" t="s">
        <v>35</v>
      </c>
      <c r="E5" s="12">
        <f ca="1">NOW()</f>
        <v>45307.611663888893</v>
      </c>
      <c r="F5" s="16"/>
      <c r="G5" s="11"/>
      <c r="H5" s="11"/>
      <c r="I5" s="11"/>
      <c r="J5" s="11"/>
      <c r="K5" s="11"/>
      <c r="L5" s="16"/>
      <c r="M5" s="117"/>
      <c r="N5" s="117"/>
      <c r="O5" s="11"/>
    </row>
    <row r="6" spans="1:15" ht="20.100000000000001" customHeight="1" x14ac:dyDescent="0.25">
      <c r="A6" s="17"/>
      <c r="B6" s="17"/>
      <c r="C6" s="17"/>
      <c r="D6" s="17"/>
      <c r="E6" s="17"/>
      <c r="M6" s="117"/>
      <c r="N6" s="117"/>
    </row>
    <row r="7" spans="1:15" ht="20.100000000000001" customHeight="1" x14ac:dyDescent="0.2">
      <c r="A7" s="18" t="s">
        <v>0</v>
      </c>
      <c r="B7" s="18"/>
      <c r="C7" s="19">
        <f ca="1">NOW()</f>
        <v>45307.611663888893</v>
      </c>
      <c r="D7" s="18" t="s">
        <v>1</v>
      </c>
      <c r="E7" s="111"/>
      <c r="M7" s="20"/>
      <c r="N7" s="20"/>
    </row>
    <row r="8" spans="1:15" ht="9.75" customHeight="1" x14ac:dyDescent="0.25">
      <c r="A8" s="21"/>
      <c r="B8" s="21"/>
      <c r="C8" s="21"/>
      <c r="D8" s="21"/>
      <c r="E8" s="21"/>
      <c r="M8" s="20"/>
      <c r="N8" s="20"/>
    </row>
    <row r="9" spans="1:15" ht="20.100000000000001" customHeight="1" x14ac:dyDescent="0.2">
      <c r="A9" s="18" t="s">
        <v>2</v>
      </c>
      <c r="B9" s="18"/>
      <c r="C9" s="109" t="s">
        <v>306</v>
      </c>
      <c r="D9" s="22" t="s">
        <v>3</v>
      </c>
      <c r="E9" s="109" t="str">
        <f>VLOOKUP(C9,Hoja2!A:E,2,0)</f>
        <v>0993208027001</v>
      </c>
      <c r="M9" s="20"/>
      <c r="N9" s="20"/>
    </row>
    <row r="10" spans="1:15" ht="9" customHeight="1" x14ac:dyDescent="0.25">
      <c r="A10" s="21"/>
      <c r="B10" s="21"/>
      <c r="C10" s="21"/>
      <c r="D10" s="21"/>
      <c r="E10" s="21"/>
      <c r="M10" s="20"/>
      <c r="N10" s="20"/>
    </row>
    <row r="11" spans="1:15" ht="20.100000000000001" customHeight="1" x14ac:dyDescent="0.2">
      <c r="A11" s="115" t="s">
        <v>21</v>
      </c>
      <c r="B11" s="116"/>
      <c r="C11" s="110" t="str">
        <f>VLOOKUP(C9,Hoja2!A:E,3,0)</f>
        <v xml:space="preserve"> T &amp; D SALUD Y BIENESTAR T&amp;DSALUDYBIENESTAR S.A.</v>
      </c>
      <c r="D11" s="22" t="s">
        <v>22</v>
      </c>
      <c r="E11" s="24" t="s">
        <v>29</v>
      </c>
      <c r="M11" s="20"/>
      <c r="N11" s="20"/>
    </row>
    <row r="12" spans="1:15" ht="9.75" customHeight="1" x14ac:dyDescent="0.25">
      <c r="A12" s="21"/>
      <c r="B12" s="21"/>
      <c r="C12" s="21"/>
      <c r="D12" s="21"/>
      <c r="E12" s="21"/>
      <c r="M12" s="20"/>
      <c r="N12" s="20"/>
    </row>
    <row r="13" spans="1:15" ht="29.25" customHeight="1" x14ac:dyDescent="0.2">
      <c r="A13" s="18" t="s">
        <v>4</v>
      </c>
      <c r="B13" s="18"/>
      <c r="C13" s="110" t="str">
        <f>VLOOKUP(C9,Hoja2!A:E,5,0)</f>
        <v>Mucho Lote 3050, Piso 3 Guayaquil</v>
      </c>
      <c r="D13" s="22" t="s">
        <v>5</v>
      </c>
      <c r="E13" s="23" t="s">
        <v>27</v>
      </c>
      <c r="M13" s="20"/>
      <c r="N13" s="20"/>
    </row>
    <row r="14" spans="1:15" ht="11.25" customHeight="1" x14ac:dyDescent="0.25">
      <c r="A14" s="21"/>
      <c r="B14" s="21"/>
      <c r="C14" s="21"/>
      <c r="D14" s="21"/>
      <c r="E14" s="21"/>
      <c r="M14" s="20"/>
      <c r="N14" s="20"/>
    </row>
    <row r="15" spans="1:15" ht="22.5" customHeight="1" x14ac:dyDescent="0.2">
      <c r="A15" s="18" t="s">
        <v>6</v>
      </c>
      <c r="B15" s="18"/>
      <c r="C15" s="25">
        <v>45030</v>
      </c>
      <c r="D15" s="22" t="s">
        <v>7</v>
      </c>
      <c r="E15" s="26" t="s">
        <v>32</v>
      </c>
      <c r="M15" s="20"/>
      <c r="N15" s="20"/>
    </row>
    <row r="16" spans="1:15" ht="9" customHeight="1" x14ac:dyDescent="0.25">
      <c r="A16" s="21"/>
      <c r="B16" s="21"/>
      <c r="C16" s="21"/>
      <c r="D16" s="21"/>
      <c r="E16" s="21"/>
      <c r="M16" s="20"/>
      <c r="N16" s="20"/>
    </row>
    <row r="17" spans="1:14" ht="20.100000000000001" customHeight="1" x14ac:dyDescent="0.2">
      <c r="A17" s="18" t="s">
        <v>8</v>
      </c>
      <c r="B17" s="18"/>
      <c r="C17" s="23" t="s">
        <v>30</v>
      </c>
      <c r="D17" s="27"/>
      <c r="E17" s="28"/>
      <c r="M17" s="20"/>
      <c r="N17" s="20"/>
    </row>
    <row r="18" spans="1:14" ht="11.25" customHeight="1" x14ac:dyDescent="0.25">
      <c r="A18" s="21"/>
      <c r="B18" s="21"/>
      <c r="C18" s="21"/>
      <c r="D18" s="21"/>
      <c r="E18" s="21"/>
      <c r="M18" s="20"/>
      <c r="N18" s="20"/>
    </row>
    <row r="19" spans="1:14" ht="20.100000000000001" customHeight="1" x14ac:dyDescent="0.2">
      <c r="A19" s="18" t="s">
        <v>9</v>
      </c>
      <c r="B19" s="18"/>
      <c r="C19" s="23"/>
      <c r="D19" s="22" t="s">
        <v>19</v>
      </c>
      <c r="E19" s="26"/>
      <c r="M19" s="20"/>
      <c r="N19" s="20"/>
    </row>
    <row r="20" spans="1:14" ht="12" customHeight="1" x14ac:dyDescent="0.25">
      <c r="A20" s="21"/>
      <c r="B20" s="21"/>
      <c r="C20" s="21"/>
      <c r="D20" s="21"/>
      <c r="E20" s="21"/>
      <c r="M20" s="20"/>
      <c r="N20" s="20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20"/>
      <c r="N21" s="20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37</v>
      </c>
      <c r="G23" s="41" t="s">
        <v>38</v>
      </c>
    </row>
    <row r="24" spans="1:14" ht="20.100000000000001" customHeight="1" x14ac:dyDescent="0.2">
      <c r="A24" s="98" t="s">
        <v>205</v>
      </c>
      <c r="B24" s="42" t="s">
        <v>222</v>
      </c>
      <c r="C24" s="43" t="s">
        <v>223</v>
      </c>
      <c r="D24" s="44">
        <v>1</v>
      </c>
      <c r="E24" s="45"/>
      <c r="F24" s="46">
        <v>1</v>
      </c>
      <c r="G24" s="46">
        <v>1</v>
      </c>
    </row>
    <row r="25" spans="1:14" ht="20.100000000000001" customHeight="1" x14ac:dyDescent="0.2">
      <c r="A25" s="98" t="s">
        <v>206</v>
      </c>
      <c r="B25" s="42" t="s">
        <v>224</v>
      </c>
      <c r="C25" s="43" t="s">
        <v>225</v>
      </c>
      <c r="D25" s="44">
        <v>1</v>
      </c>
      <c r="E25" s="45"/>
      <c r="F25" s="46">
        <v>1</v>
      </c>
      <c r="G25" s="46">
        <v>1</v>
      </c>
    </row>
    <row r="26" spans="1:14" ht="20.100000000000001" customHeight="1" x14ac:dyDescent="0.2">
      <c r="A26" s="98" t="s">
        <v>207</v>
      </c>
      <c r="B26" s="42" t="s">
        <v>226</v>
      </c>
      <c r="C26" s="43" t="s">
        <v>227</v>
      </c>
      <c r="D26" s="44">
        <v>2</v>
      </c>
      <c r="E26" s="45"/>
      <c r="F26" s="46">
        <v>1</v>
      </c>
      <c r="G26" s="46">
        <v>2</v>
      </c>
    </row>
    <row r="27" spans="1:14" ht="20.100000000000001" customHeight="1" x14ac:dyDescent="0.2">
      <c r="A27" s="98" t="s">
        <v>208</v>
      </c>
      <c r="B27" s="42" t="s">
        <v>228</v>
      </c>
      <c r="C27" s="43" t="s">
        <v>229</v>
      </c>
      <c r="D27" s="44">
        <v>1</v>
      </c>
      <c r="E27" s="45"/>
      <c r="F27" s="46">
        <v>1</v>
      </c>
      <c r="G27" s="46">
        <v>1</v>
      </c>
    </row>
    <row r="28" spans="1:14" ht="20.100000000000001" customHeight="1" x14ac:dyDescent="0.25">
      <c r="A28" s="98" t="s">
        <v>209</v>
      </c>
      <c r="B28" s="42" t="s">
        <v>230</v>
      </c>
      <c r="C28" s="43" t="s">
        <v>231</v>
      </c>
      <c r="D28" s="47">
        <v>5</v>
      </c>
      <c r="E28" s="45"/>
      <c r="F28" s="46">
        <v>1</v>
      </c>
      <c r="G28" s="46">
        <v>5</v>
      </c>
    </row>
    <row r="29" spans="1:14" ht="20.100000000000001" customHeight="1" x14ac:dyDescent="0.2">
      <c r="A29" s="98" t="s">
        <v>210</v>
      </c>
      <c r="B29" s="42" t="s">
        <v>232</v>
      </c>
      <c r="C29" s="43" t="s">
        <v>233</v>
      </c>
      <c r="D29" s="44">
        <v>1</v>
      </c>
      <c r="E29" s="45"/>
      <c r="F29" s="46">
        <v>1</v>
      </c>
      <c r="G29" s="46">
        <v>1</v>
      </c>
    </row>
    <row r="30" spans="1:14" ht="20.100000000000001" customHeight="1" x14ac:dyDescent="0.2">
      <c r="A30" s="98" t="s">
        <v>211</v>
      </c>
      <c r="B30" s="42" t="s">
        <v>230</v>
      </c>
      <c r="C30" s="43" t="s">
        <v>234</v>
      </c>
      <c r="D30" s="44">
        <v>1</v>
      </c>
      <c r="E30" s="48"/>
      <c r="F30" s="46">
        <v>1</v>
      </c>
      <c r="G30" s="46">
        <v>1</v>
      </c>
    </row>
    <row r="31" spans="1:14" ht="20.100000000000001" customHeight="1" x14ac:dyDescent="0.2">
      <c r="A31" s="98" t="s">
        <v>212</v>
      </c>
      <c r="B31" s="42" t="s">
        <v>235</v>
      </c>
      <c r="C31" s="43" t="s">
        <v>236</v>
      </c>
      <c r="D31" s="44">
        <v>2</v>
      </c>
      <c r="E31" s="48"/>
      <c r="F31" s="46">
        <v>1</v>
      </c>
      <c r="G31" s="46">
        <v>2</v>
      </c>
    </row>
    <row r="32" spans="1:14" ht="20.100000000000001" customHeight="1" x14ac:dyDescent="0.2">
      <c r="A32" s="98" t="s">
        <v>213</v>
      </c>
      <c r="B32" s="42" t="s">
        <v>237</v>
      </c>
      <c r="C32" s="43" t="s">
        <v>238</v>
      </c>
      <c r="D32" s="44">
        <v>1</v>
      </c>
      <c r="E32" s="48"/>
      <c r="F32" s="46">
        <v>1</v>
      </c>
      <c r="G32" s="46">
        <v>1</v>
      </c>
    </row>
    <row r="33" spans="1:7" ht="20.100000000000001" customHeight="1" x14ac:dyDescent="0.25">
      <c r="A33" s="98" t="s">
        <v>214</v>
      </c>
      <c r="B33" s="42" t="s">
        <v>237</v>
      </c>
      <c r="C33" s="43" t="s">
        <v>204</v>
      </c>
      <c r="D33" s="47">
        <v>5</v>
      </c>
      <c r="E33" s="48"/>
      <c r="F33" s="46">
        <v>1</v>
      </c>
      <c r="G33" s="46">
        <v>5</v>
      </c>
    </row>
    <row r="34" spans="1:7" ht="20.100000000000001" customHeight="1" x14ac:dyDescent="0.2">
      <c r="A34" s="98" t="s">
        <v>215</v>
      </c>
      <c r="B34" s="49" t="s">
        <v>239</v>
      </c>
      <c r="C34" s="43" t="s">
        <v>240</v>
      </c>
      <c r="D34" s="44">
        <v>2</v>
      </c>
      <c r="E34" s="48"/>
      <c r="F34" s="46">
        <v>1</v>
      </c>
      <c r="G34" s="46">
        <v>2</v>
      </c>
    </row>
    <row r="35" spans="1:7" ht="20.100000000000001" customHeight="1" x14ac:dyDescent="0.2">
      <c r="A35" s="98" t="s">
        <v>216</v>
      </c>
      <c r="B35" s="49" t="s">
        <v>239</v>
      </c>
      <c r="C35" s="43" t="s">
        <v>241</v>
      </c>
      <c r="D35" s="44">
        <v>2</v>
      </c>
      <c r="E35" s="48"/>
      <c r="F35" s="46">
        <v>1</v>
      </c>
      <c r="G35" s="46">
        <v>2</v>
      </c>
    </row>
    <row r="36" spans="1:7" ht="20.100000000000001" customHeight="1" x14ac:dyDescent="0.2">
      <c r="A36" s="98" t="s">
        <v>217</v>
      </c>
      <c r="B36" s="49" t="s">
        <v>239</v>
      </c>
      <c r="C36" s="43" t="s">
        <v>242</v>
      </c>
      <c r="D36" s="44">
        <v>2</v>
      </c>
      <c r="E36" s="48"/>
      <c r="F36" s="46">
        <v>1</v>
      </c>
      <c r="G36" s="46">
        <v>2</v>
      </c>
    </row>
    <row r="37" spans="1:7" ht="20.100000000000001" customHeight="1" x14ac:dyDescent="0.2">
      <c r="A37" s="98" t="s">
        <v>218</v>
      </c>
      <c r="B37" s="49" t="s">
        <v>243</v>
      </c>
      <c r="C37" s="43" t="s">
        <v>244</v>
      </c>
      <c r="D37" s="44">
        <v>2</v>
      </c>
      <c r="E37" s="48"/>
      <c r="F37" s="46">
        <v>1</v>
      </c>
      <c r="G37" s="46">
        <v>2</v>
      </c>
    </row>
    <row r="38" spans="1:7" ht="20.100000000000001" customHeight="1" x14ac:dyDescent="0.2">
      <c r="A38" s="98" t="s">
        <v>219</v>
      </c>
      <c r="B38" s="50">
        <v>200112737</v>
      </c>
      <c r="C38" s="43" t="s">
        <v>245</v>
      </c>
      <c r="D38" s="44">
        <v>1</v>
      </c>
      <c r="E38" s="48"/>
      <c r="F38" s="46">
        <v>1</v>
      </c>
      <c r="G38" s="46">
        <v>1</v>
      </c>
    </row>
    <row r="39" spans="1:7" ht="20.100000000000001" customHeight="1" x14ac:dyDescent="0.2">
      <c r="A39" s="98" t="s">
        <v>220</v>
      </c>
      <c r="B39" s="50">
        <v>201226140</v>
      </c>
      <c r="C39" s="43" t="s">
        <v>246</v>
      </c>
      <c r="D39" s="44">
        <v>1</v>
      </c>
      <c r="E39" s="48"/>
      <c r="F39" s="46">
        <v>1</v>
      </c>
      <c r="G39" s="46">
        <v>1</v>
      </c>
    </row>
    <row r="40" spans="1:7" ht="20.100000000000001" customHeight="1" x14ac:dyDescent="0.25">
      <c r="A40" s="98" t="s">
        <v>221</v>
      </c>
      <c r="B40" s="50">
        <v>211037382</v>
      </c>
      <c r="C40" s="51" t="s">
        <v>247</v>
      </c>
      <c r="D40" s="47">
        <v>10</v>
      </c>
      <c r="E40" s="48"/>
      <c r="F40" s="46">
        <v>1</v>
      </c>
      <c r="G40" s="46">
        <v>10</v>
      </c>
    </row>
    <row r="41" spans="1:7" ht="20.100000000000001" customHeight="1" x14ac:dyDescent="0.2">
      <c r="A41" s="98" t="s">
        <v>77</v>
      </c>
      <c r="B41" s="49" t="s">
        <v>131</v>
      </c>
      <c r="C41" s="51" t="s">
        <v>158</v>
      </c>
      <c r="D41" s="44">
        <v>2</v>
      </c>
      <c r="E41" s="48"/>
      <c r="F41" s="46">
        <v>1</v>
      </c>
      <c r="G41" s="46">
        <v>2</v>
      </c>
    </row>
    <row r="42" spans="1:7" ht="20.100000000000001" customHeight="1" x14ac:dyDescent="0.2">
      <c r="A42" s="98" t="s">
        <v>78</v>
      </c>
      <c r="B42" s="49" t="s">
        <v>159</v>
      </c>
      <c r="C42" s="51" t="s">
        <v>160</v>
      </c>
      <c r="D42" s="44">
        <v>1</v>
      </c>
      <c r="E42" s="52"/>
      <c r="F42" s="46">
        <v>1</v>
      </c>
      <c r="G42" s="46">
        <v>1</v>
      </c>
    </row>
    <row r="43" spans="1:7" ht="20.100000000000001" customHeight="1" x14ac:dyDescent="0.2">
      <c r="A43" s="98" t="s">
        <v>79</v>
      </c>
      <c r="B43" s="49" t="s">
        <v>161</v>
      </c>
      <c r="C43" s="53" t="s">
        <v>162</v>
      </c>
      <c r="D43" s="44">
        <v>2</v>
      </c>
      <c r="E43" s="54"/>
      <c r="F43" s="46">
        <v>1</v>
      </c>
      <c r="G43" s="46">
        <v>2</v>
      </c>
    </row>
    <row r="44" spans="1:7" ht="20.100000000000001" customHeight="1" x14ac:dyDescent="0.2">
      <c r="A44" s="98" t="s">
        <v>80</v>
      </c>
      <c r="B44" s="49" t="s">
        <v>132</v>
      </c>
      <c r="C44" s="51" t="s">
        <v>163</v>
      </c>
      <c r="D44" s="44">
        <v>2</v>
      </c>
      <c r="E44" s="54"/>
      <c r="F44" s="46">
        <v>1</v>
      </c>
      <c r="G44" s="46">
        <v>2</v>
      </c>
    </row>
    <row r="45" spans="1:7" ht="20.100000000000001" customHeight="1" x14ac:dyDescent="0.2">
      <c r="A45" s="98" t="s">
        <v>81</v>
      </c>
      <c r="B45" s="50">
        <v>210002759</v>
      </c>
      <c r="C45" s="51" t="s">
        <v>164</v>
      </c>
      <c r="D45" s="44">
        <v>1</v>
      </c>
      <c r="E45" s="54"/>
      <c r="F45" s="46">
        <v>1</v>
      </c>
      <c r="G45" s="46">
        <v>1</v>
      </c>
    </row>
    <row r="46" spans="1:7" ht="20.100000000000001" customHeight="1" x14ac:dyDescent="0.2">
      <c r="A46" s="98" t="s">
        <v>51</v>
      </c>
      <c r="B46" s="50">
        <v>1900047462</v>
      </c>
      <c r="C46" s="51" t="s">
        <v>165</v>
      </c>
      <c r="D46" s="44">
        <v>1</v>
      </c>
      <c r="E46" s="54"/>
      <c r="F46" s="46">
        <v>1</v>
      </c>
      <c r="G46" s="46">
        <v>1</v>
      </c>
    </row>
    <row r="47" spans="1:7" ht="20.100000000000001" customHeight="1" x14ac:dyDescent="0.25">
      <c r="A47" s="98" t="s">
        <v>52</v>
      </c>
      <c r="B47" s="50">
        <v>1900047727</v>
      </c>
      <c r="C47" s="51" t="s">
        <v>166</v>
      </c>
      <c r="D47" s="47">
        <v>9</v>
      </c>
      <c r="E47" s="54"/>
      <c r="F47" s="46">
        <v>1</v>
      </c>
      <c r="G47" s="46">
        <v>9</v>
      </c>
    </row>
    <row r="48" spans="1:7" ht="20.100000000000001" customHeight="1" x14ac:dyDescent="0.2">
      <c r="A48" s="98"/>
      <c r="B48" s="42" t="s">
        <v>36</v>
      </c>
      <c r="C48" s="43"/>
      <c r="D48" s="44">
        <v>1</v>
      </c>
      <c r="E48" s="54"/>
      <c r="F48" s="46"/>
      <c r="G48" s="46"/>
    </row>
    <row r="49" spans="1:7" ht="20.100000000000001" customHeight="1" x14ac:dyDescent="0.2">
      <c r="A49" s="98" t="s">
        <v>53</v>
      </c>
      <c r="B49" s="42" t="s">
        <v>133</v>
      </c>
      <c r="C49" s="43" t="s">
        <v>167</v>
      </c>
      <c r="D49" s="44">
        <v>1</v>
      </c>
      <c r="E49" s="54"/>
      <c r="F49" s="46">
        <v>1</v>
      </c>
      <c r="G49" s="46">
        <v>1</v>
      </c>
    </row>
    <row r="50" spans="1:7" ht="20.100000000000001" customHeight="1" x14ac:dyDescent="0.2">
      <c r="A50" s="98" t="s">
        <v>54</v>
      </c>
      <c r="B50" s="55" t="s">
        <v>134</v>
      </c>
      <c r="C50" s="51" t="s">
        <v>168</v>
      </c>
      <c r="D50" s="44">
        <v>1</v>
      </c>
      <c r="E50" s="54"/>
      <c r="F50" s="46">
        <v>1</v>
      </c>
      <c r="G50" s="46">
        <v>1</v>
      </c>
    </row>
    <row r="51" spans="1:7" ht="20.100000000000001" customHeight="1" x14ac:dyDescent="0.2">
      <c r="A51" s="98" t="s">
        <v>55</v>
      </c>
      <c r="B51" s="42" t="s">
        <v>135</v>
      </c>
      <c r="C51" s="51" t="s">
        <v>169</v>
      </c>
      <c r="D51" s="50">
        <v>1</v>
      </c>
      <c r="E51" s="54"/>
      <c r="F51" s="46">
        <v>1</v>
      </c>
      <c r="G51" s="46">
        <v>1</v>
      </c>
    </row>
    <row r="52" spans="1:7" ht="20.100000000000001" customHeight="1" x14ac:dyDescent="0.2">
      <c r="A52" s="98" t="s">
        <v>56</v>
      </c>
      <c r="B52" s="42" t="s">
        <v>170</v>
      </c>
      <c r="C52" s="51" t="s">
        <v>171</v>
      </c>
      <c r="D52" s="44">
        <v>0</v>
      </c>
      <c r="E52" s="56"/>
      <c r="F52" s="46">
        <v>1</v>
      </c>
      <c r="G52" s="46">
        <v>0</v>
      </c>
    </row>
    <row r="53" spans="1:7" ht="20.100000000000001" customHeight="1" x14ac:dyDescent="0.2">
      <c r="A53" s="98" t="s">
        <v>57</v>
      </c>
      <c r="B53" s="55" t="s">
        <v>136</v>
      </c>
      <c r="C53" s="51" t="s">
        <v>172</v>
      </c>
      <c r="D53" s="44">
        <v>1</v>
      </c>
      <c r="E53" s="56"/>
      <c r="F53" s="46">
        <v>1</v>
      </c>
      <c r="G53" s="46">
        <v>1</v>
      </c>
    </row>
    <row r="54" spans="1:7" ht="20.100000000000001" customHeight="1" x14ac:dyDescent="0.2">
      <c r="A54" s="98" t="s">
        <v>58</v>
      </c>
      <c r="B54" s="55" t="s">
        <v>137</v>
      </c>
      <c r="C54" s="51" t="s">
        <v>173</v>
      </c>
      <c r="D54" s="44">
        <v>1</v>
      </c>
      <c r="E54" s="56"/>
      <c r="F54" s="46">
        <v>1</v>
      </c>
      <c r="G54" s="46">
        <v>1</v>
      </c>
    </row>
    <row r="55" spans="1:7" ht="20.100000000000001" customHeight="1" x14ac:dyDescent="0.2">
      <c r="A55" s="98" t="s">
        <v>59</v>
      </c>
      <c r="B55" s="55" t="s">
        <v>137</v>
      </c>
      <c r="C55" s="51" t="s">
        <v>174</v>
      </c>
      <c r="D55" s="50">
        <v>1</v>
      </c>
      <c r="E55" s="56"/>
      <c r="F55" s="46">
        <v>1</v>
      </c>
      <c r="G55" s="46">
        <v>1</v>
      </c>
    </row>
    <row r="56" spans="1:7" ht="20.100000000000001" customHeight="1" x14ac:dyDescent="0.25">
      <c r="A56" s="98" t="s">
        <v>60</v>
      </c>
      <c r="B56" s="55" t="s">
        <v>138</v>
      </c>
      <c r="C56" s="51" t="s">
        <v>175</v>
      </c>
      <c r="D56" s="57">
        <v>7</v>
      </c>
      <c r="E56" s="56"/>
      <c r="F56" s="46">
        <v>1</v>
      </c>
      <c r="G56" s="46">
        <v>7</v>
      </c>
    </row>
    <row r="57" spans="1:7" ht="20.100000000000001" customHeight="1" x14ac:dyDescent="0.2">
      <c r="A57" s="98" t="s">
        <v>61</v>
      </c>
      <c r="B57" s="55" t="s">
        <v>139</v>
      </c>
      <c r="C57" s="53" t="s">
        <v>176</v>
      </c>
      <c r="D57" s="44">
        <v>1</v>
      </c>
      <c r="E57" s="56"/>
      <c r="F57" s="46">
        <v>1</v>
      </c>
      <c r="G57" s="46">
        <v>1</v>
      </c>
    </row>
    <row r="58" spans="1:7" ht="20.100000000000001" customHeight="1" x14ac:dyDescent="0.2">
      <c r="A58" s="98" t="s">
        <v>62</v>
      </c>
      <c r="B58" s="42" t="s">
        <v>140</v>
      </c>
      <c r="C58" s="43" t="s">
        <v>177</v>
      </c>
      <c r="D58" s="44">
        <v>1</v>
      </c>
      <c r="E58" s="56"/>
      <c r="F58" s="46">
        <v>1</v>
      </c>
      <c r="G58" s="46">
        <v>1</v>
      </c>
    </row>
    <row r="59" spans="1:7" ht="20.100000000000001" customHeight="1" x14ac:dyDescent="0.2">
      <c r="A59" s="98" t="s">
        <v>63</v>
      </c>
      <c r="B59" s="55" t="s">
        <v>141</v>
      </c>
      <c r="C59" s="53" t="s">
        <v>178</v>
      </c>
      <c r="D59" s="44">
        <v>1</v>
      </c>
      <c r="E59" s="56"/>
      <c r="F59" s="46">
        <v>1</v>
      </c>
      <c r="G59" s="46">
        <v>1</v>
      </c>
    </row>
    <row r="60" spans="1:7" ht="20.100000000000001" customHeight="1" x14ac:dyDescent="0.2">
      <c r="A60" s="98" t="s">
        <v>64</v>
      </c>
      <c r="B60" s="42" t="s">
        <v>142</v>
      </c>
      <c r="C60" s="43" t="s">
        <v>179</v>
      </c>
      <c r="D60" s="44">
        <v>1</v>
      </c>
      <c r="E60" s="56"/>
      <c r="F60" s="46">
        <v>1</v>
      </c>
      <c r="G60" s="46">
        <v>1</v>
      </c>
    </row>
    <row r="61" spans="1:7" ht="20.100000000000001" customHeight="1" x14ac:dyDescent="0.2">
      <c r="A61" s="98" t="s">
        <v>65</v>
      </c>
      <c r="B61" s="55" t="s">
        <v>180</v>
      </c>
      <c r="C61" s="53" t="s">
        <v>181</v>
      </c>
      <c r="D61" s="44">
        <v>1</v>
      </c>
      <c r="E61" s="56"/>
      <c r="F61" s="46">
        <v>1</v>
      </c>
      <c r="G61" s="46">
        <v>1</v>
      </c>
    </row>
    <row r="62" spans="1:7" ht="20.100000000000001" customHeight="1" x14ac:dyDescent="0.2">
      <c r="A62" s="98" t="s">
        <v>66</v>
      </c>
      <c r="B62" s="42" t="s">
        <v>143</v>
      </c>
      <c r="C62" s="43" t="s">
        <v>182</v>
      </c>
      <c r="D62" s="44">
        <v>1</v>
      </c>
      <c r="E62" s="56"/>
      <c r="F62" s="46">
        <v>1</v>
      </c>
      <c r="G62" s="46">
        <v>1</v>
      </c>
    </row>
    <row r="63" spans="1:7" ht="20.100000000000001" customHeight="1" x14ac:dyDescent="0.25">
      <c r="A63" s="98" t="s">
        <v>67</v>
      </c>
      <c r="B63" s="42" t="s">
        <v>183</v>
      </c>
      <c r="C63" s="43" t="s">
        <v>184</v>
      </c>
      <c r="D63" s="47">
        <v>6</v>
      </c>
      <c r="E63" s="56"/>
      <c r="F63" s="46">
        <v>1</v>
      </c>
      <c r="G63" s="46">
        <v>6</v>
      </c>
    </row>
    <row r="64" spans="1:7" ht="20.100000000000001" customHeight="1" x14ac:dyDescent="0.2">
      <c r="A64" s="98" t="s">
        <v>67</v>
      </c>
      <c r="B64" s="55" t="s">
        <v>183</v>
      </c>
      <c r="C64" s="53" t="s">
        <v>184</v>
      </c>
      <c r="D64" s="50">
        <v>1</v>
      </c>
      <c r="E64" s="56"/>
      <c r="F64" s="46">
        <v>1</v>
      </c>
      <c r="G64" s="46">
        <v>1</v>
      </c>
    </row>
    <row r="65" spans="1:7" ht="20.100000000000001" customHeight="1" x14ac:dyDescent="0.2">
      <c r="A65" s="98" t="s">
        <v>68</v>
      </c>
      <c r="B65" s="42" t="s">
        <v>144</v>
      </c>
      <c r="C65" s="43" t="s">
        <v>185</v>
      </c>
      <c r="D65" s="50">
        <v>1</v>
      </c>
      <c r="E65" s="56"/>
      <c r="F65" s="46">
        <v>1</v>
      </c>
      <c r="G65" s="46">
        <v>1</v>
      </c>
    </row>
    <row r="66" spans="1:7" ht="20.100000000000001" customHeight="1" x14ac:dyDescent="0.2">
      <c r="A66" s="98" t="s">
        <v>69</v>
      </c>
      <c r="B66" s="42"/>
      <c r="C66" s="43" t="s">
        <v>186</v>
      </c>
      <c r="D66" s="50">
        <v>1</v>
      </c>
      <c r="E66" s="56"/>
      <c r="F66" s="46">
        <v>1</v>
      </c>
      <c r="G66" s="46">
        <v>1</v>
      </c>
    </row>
    <row r="67" spans="1:7" ht="20.100000000000001" customHeight="1" x14ac:dyDescent="0.2">
      <c r="A67" s="98" t="s">
        <v>70</v>
      </c>
      <c r="B67" s="55" t="s">
        <v>145</v>
      </c>
      <c r="C67" s="53" t="s">
        <v>187</v>
      </c>
      <c r="D67" s="50">
        <v>1</v>
      </c>
      <c r="E67" s="56"/>
      <c r="F67" s="46">
        <v>1</v>
      </c>
      <c r="G67" s="46">
        <v>1</v>
      </c>
    </row>
    <row r="68" spans="1:7" ht="20.100000000000001" customHeight="1" x14ac:dyDescent="0.25">
      <c r="A68" s="98" t="s">
        <v>71</v>
      </c>
      <c r="B68" s="55" t="s">
        <v>146</v>
      </c>
      <c r="C68" s="53" t="s">
        <v>188</v>
      </c>
      <c r="D68" s="57">
        <v>4</v>
      </c>
      <c r="E68" s="56"/>
      <c r="F68" s="46">
        <v>1</v>
      </c>
      <c r="G68" s="46">
        <v>4</v>
      </c>
    </row>
    <row r="69" spans="1:7" ht="20.100000000000001" customHeight="1" x14ac:dyDescent="0.2">
      <c r="A69" s="98" t="s">
        <v>72</v>
      </c>
      <c r="B69" s="55" t="s">
        <v>147</v>
      </c>
      <c r="C69" s="53" t="s">
        <v>189</v>
      </c>
      <c r="D69" s="50">
        <v>0</v>
      </c>
      <c r="E69" s="56"/>
      <c r="F69" s="46">
        <v>1</v>
      </c>
      <c r="G69" s="46">
        <v>0</v>
      </c>
    </row>
    <row r="70" spans="1:7" ht="20.100000000000001" customHeight="1" x14ac:dyDescent="0.2">
      <c r="A70" s="95" t="s">
        <v>73</v>
      </c>
      <c r="B70" s="42" t="s">
        <v>148</v>
      </c>
      <c r="C70" s="43" t="s">
        <v>190</v>
      </c>
      <c r="D70" s="50">
        <v>1</v>
      </c>
      <c r="E70" s="56"/>
      <c r="F70" s="46">
        <v>1</v>
      </c>
      <c r="G70" s="46">
        <v>1</v>
      </c>
    </row>
    <row r="71" spans="1:7" ht="20.100000000000001" customHeight="1" x14ac:dyDescent="0.2">
      <c r="A71" s="98" t="s">
        <v>74</v>
      </c>
      <c r="B71" s="55" t="s">
        <v>149</v>
      </c>
      <c r="C71" s="53" t="s">
        <v>191</v>
      </c>
      <c r="D71" s="50">
        <v>1</v>
      </c>
      <c r="E71" s="56"/>
      <c r="F71" s="46">
        <v>1</v>
      </c>
      <c r="G71" s="46">
        <v>1</v>
      </c>
    </row>
    <row r="72" spans="1:7" ht="20.100000000000001" customHeight="1" x14ac:dyDescent="0.2">
      <c r="A72" s="98" t="s">
        <v>75</v>
      </c>
      <c r="B72" s="42" t="s">
        <v>192</v>
      </c>
      <c r="C72" s="43" t="s">
        <v>193</v>
      </c>
      <c r="D72" s="50">
        <v>0</v>
      </c>
      <c r="E72" s="56"/>
      <c r="F72" s="46">
        <v>1</v>
      </c>
      <c r="G72" s="46">
        <v>0</v>
      </c>
    </row>
    <row r="73" spans="1:7" ht="20.100000000000001" customHeight="1" x14ac:dyDescent="0.2">
      <c r="A73" s="98" t="s">
        <v>76</v>
      </c>
      <c r="B73" s="55" t="s">
        <v>150</v>
      </c>
      <c r="C73" s="53" t="s">
        <v>194</v>
      </c>
      <c r="D73" s="50">
        <v>1</v>
      </c>
      <c r="E73" s="56"/>
      <c r="F73" s="46">
        <v>1</v>
      </c>
      <c r="G73" s="46">
        <v>1</v>
      </c>
    </row>
    <row r="74" spans="1:7" ht="20.100000000000001" customHeight="1" x14ac:dyDescent="0.2">
      <c r="A74" s="98"/>
      <c r="B74" s="42" t="s">
        <v>36</v>
      </c>
      <c r="C74" s="43"/>
      <c r="D74" s="50">
        <v>1</v>
      </c>
      <c r="E74" s="56"/>
      <c r="F74" s="46"/>
      <c r="G74" s="46"/>
    </row>
    <row r="75" spans="1:7" ht="20.100000000000001" customHeight="1" x14ac:dyDescent="0.25">
      <c r="A75" s="95" t="s">
        <v>42</v>
      </c>
      <c r="B75" s="42" t="s">
        <v>151</v>
      </c>
      <c r="C75" s="43" t="s">
        <v>195</v>
      </c>
      <c r="D75" s="57">
        <v>4</v>
      </c>
      <c r="E75" s="56"/>
      <c r="F75" s="46"/>
      <c r="G75" s="46">
        <v>4</v>
      </c>
    </row>
    <row r="76" spans="1:7" ht="20.100000000000001" customHeight="1" x14ac:dyDescent="0.2">
      <c r="A76" s="95" t="s">
        <v>43</v>
      </c>
      <c r="B76" s="50">
        <v>190703707</v>
      </c>
      <c r="C76" s="59" t="s">
        <v>196</v>
      </c>
      <c r="D76" s="50">
        <v>2</v>
      </c>
      <c r="E76" s="56"/>
      <c r="F76" s="46"/>
      <c r="G76" s="46">
        <v>2</v>
      </c>
    </row>
    <row r="77" spans="1:7" ht="20.100000000000001" customHeight="1" x14ac:dyDescent="0.2">
      <c r="A77" s="95" t="s">
        <v>44</v>
      </c>
      <c r="B77" s="50" t="s">
        <v>152</v>
      </c>
      <c r="C77" s="59" t="s">
        <v>197</v>
      </c>
      <c r="D77" s="60">
        <v>2</v>
      </c>
      <c r="E77" s="61"/>
      <c r="F77" s="93"/>
      <c r="G77" s="46">
        <v>2</v>
      </c>
    </row>
    <row r="78" spans="1:7" ht="20.100000000000001" customHeight="1" x14ac:dyDescent="0.2">
      <c r="A78" s="95" t="s">
        <v>45</v>
      </c>
      <c r="B78" s="50">
        <v>1405040036</v>
      </c>
      <c r="C78" s="59" t="s">
        <v>198</v>
      </c>
      <c r="D78" s="60">
        <v>2</v>
      </c>
      <c r="E78" s="61"/>
      <c r="F78" s="93"/>
      <c r="G78" s="46">
        <v>2</v>
      </c>
    </row>
    <row r="79" spans="1:7" ht="20.100000000000001" customHeight="1" x14ac:dyDescent="0.2">
      <c r="A79" s="95" t="s">
        <v>46</v>
      </c>
      <c r="B79" s="50" t="s">
        <v>153</v>
      </c>
      <c r="C79" s="59" t="s">
        <v>199</v>
      </c>
      <c r="D79" s="60">
        <v>2</v>
      </c>
      <c r="E79" s="61"/>
      <c r="F79" s="93"/>
      <c r="G79" s="46">
        <v>2</v>
      </c>
    </row>
    <row r="80" spans="1:7" ht="20.100000000000001" customHeight="1" x14ac:dyDescent="0.2">
      <c r="A80" s="95" t="s">
        <v>47</v>
      </c>
      <c r="B80" s="50" t="s">
        <v>154</v>
      </c>
      <c r="C80" s="59" t="s">
        <v>200</v>
      </c>
      <c r="D80" s="60">
        <v>2</v>
      </c>
      <c r="E80" s="61"/>
      <c r="F80" s="93"/>
      <c r="G80" s="46">
        <v>2</v>
      </c>
    </row>
    <row r="81" spans="1:7" ht="20.100000000000001" customHeight="1" x14ac:dyDescent="0.2">
      <c r="A81" s="95" t="s">
        <v>48</v>
      </c>
      <c r="B81" s="50" t="s">
        <v>155</v>
      </c>
      <c r="C81" s="59" t="s">
        <v>201</v>
      </c>
      <c r="D81" s="60">
        <v>2</v>
      </c>
      <c r="E81" s="61"/>
      <c r="F81" s="93"/>
      <c r="G81" s="46">
        <v>2</v>
      </c>
    </row>
    <row r="82" spans="1:7" ht="20.100000000000001" customHeight="1" x14ac:dyDescent="0.2">
      <c r="A82" s="95" t="s">
        <v>49</v>
      </c>
      <c r="B82" s="50" t="s">
        <v>156</v>
      </c>
      <c r="C82" s="59" t="s">
        <v>202</v>
      </c>
      <c r="D82" s="60">
        <v>2</v>
      </c>
      <c r="E82" s="61"/>
      <c r="F82" s="93"/>
      <c r="G82" s="46">
        <v>2</v>
      </c>
    </row>
    <row r="83" spans="1:7" ht="20.100000000000001" customHeight="1" x14ac:dyDescent="0.2">
      <c r="A83" s="95" t="s">
        <v>50</v>
      </c>
      <c r="B83" s="50" t="s">
        <v>157</v>
      </c>
      <c r="C83" s="59" t="s">
        <v>203</v>
      </c>
      <c r="D83" s="60">
        <v>2</v>
      </c>
      <c r="E83" s="61"/>
      <c r="F83" s="93"/>
      <c r="G83" s="46">
        <v>2</v>
      </c>
    </row>
    <row r="84" spans="1:7" ht="20.100000000000001" customHeight="1" x14ac:dyDescent="0.2">
      <c r="A84" s="95"/>
      <c r="B84" s="50"/>
      <c r="C84" s="59"/>
      <c r="D84" s="60">
        <v>2</v>
      </c>
      <c r="E84" s="61"/>
      <c r="F84" s="93"/>
      <c r="G84" s="46"/>
    </row>
    <row r="85" spans="1:7" ht="20.100000000000001" customHeight="1" x14ac:dyDescent="0.2">
      <c r="A85" s="99" t="s">
        <v>130</v>
      </c>
      <c r="B85" s="50">
        <v>210228152</v>
      </c>
      <c r="C85" s="59" t="s">
        <v>204</v>
      </c>
      <c r="D85" s="60">
        <v>2</v>
      </c>
      <c r="E85" s="61"/>
      <c r="F85" s="93">
        <v>1</v>
      </c>
      <c r="G85" s="46">
        <v>2</v>
      </c>
    </row>
    <row r="86" spans="1:7" ht="20.100000000000001" customHeight="1" x14ac:dyDescent="0.2">
      <c r="A86" s="58"/>
      <c r="B86" s="50"/>
      <c r="C86" s="59"/>
      <c r="D86" s="60">
        <v>2</v>
      </c>
      <c r="E86" s="61"/>
      <c r="F86" s="93"/>
      <c r="G86" s="46"/>
    </row>
    <row r="87" spans="1:7" ht="20.100000000000001" customHeight="1" x14ac:dyDescent="0.2">
      <c r="A87" s="98" t="s">
        <v>67</v>
      </c>
      <c r="B87" s="55" t="s">
        <v>183</v>
      </c>
      <c r="C87" s="53" t="s">
        <v>184</v>
      </c>
      <c r="D87" s="60">
        <v>2</v>
      </c>
      <c r="E87" s="61"/>
      <c r="F87" s="93">
        <v>1</v>
      </c>
      <c r="G87" s="46">
        <v>2</v>
      </c>
    </row>
    <row r="88" spans="1:7" ht="20.100000000000001" customHeight="1" x14ac:dyDescent="0.25">
      <c r="A88" s="98" t="s">
        <v>68</v>
      </c>
      <c r="B88" s="42" t="s">
        <v>144</v>
      </c>
      <c r="C88" s="43" t="s">
        <v>185</v>
      </c>
      <c r="D88" s="62">
        <v>24</v>
      </c>
      <c r="E88" s="61"/>
      <c r="F88" s="93">
        <v>1</v>
      </c>
      <c r="G88" s="46">
        <v>24</v>
      </c>
    </row>
    <row r="89" spans="1:7" ht="20.100000000000001" customHeight="1" x14ac:dyDescent="0.2">
      <c r="A89" s="98" t="s">
        <v>69</v>
      </c>
      <c r="B89" s="42"/>
      <c r="C89" s="43" t="s">
        <v>186</v>
      </c>
      <c r="D89" s="60">
        <v>1</v>
      </c>
      <c r="E89" s="61"/>
      <c r="F89" s="93">
        <v>1</v>
      </c>
      <c r="G89" s="46">
        <v>1</v>
      </c>
    </row>
    <row r="90" spans="1:7" ht="20.100000000000001" customHeight="1" x14ac:dyDescent="0.2">
      <c r="A90" s="98" t="s">
        <v>70</v>
      </c>
      <c r="B90" s="55" t="s">
        <v>145</v>
      </c>
      <c r="C90" s="53" t="s">
        <v>187</v>
      </c>
      <c r="D90" s="60">
        <v>1</v>
      </c>
      <c r="E90" s="61"/>
      <c r="F90" s="93">
        <v>1</v>
      </c>
      <c r="G90" s="46">
        <v>1</v>
      </c>
    </row>
    <row r="91" spans="1:7" ht="20.100000000000001" customHeight="1" x14ac:dyDescent="0.2">
      <c r="A91" s="98" t="s">
        <v>71</v>
      </c>
      <c r="B91" s="55" t="s">
        <v>146</v>
      </c>
      <c r="C91" s="53" t="s">
        <v>188</v>
      </c>
      <c r="D91" s="60">
        <v>1</v>
      </c>
      <c r="E91" s="61"/>
      <c r="F91" s="93">
        <v>1</v>
      </c>
      <c r="G91" s="46">
        <v>1</v>
      </c>
    </row>
    <row r="92" spans="1:7" ht="20.100000000000001" customHeight="1" x14ac:dyDescent="0.2">
      <c r="A92" s="98" t="s">
        <v>72</v>
      </c>
      <c r="B92" s="55" t="s">
        <v>147</v>
      </c>
      <c r="C92" s="53" t="s">
        <v>189</v>
      </c>
      <c r="D92" s="60">
        <v>1</v>
      </c>
      <c r="E92" s="61"/>
      <c r="F92" s="93">
        <v>1</v>
      </c>
      <c r="G92" s="46">
        <v>1</v>
      </c>
    </row>
    <row r="93" spans="1:7" ht="20.100000000000001" customHeight="1" x14ac:dyDescent="0.2">
      <c r="A93" s="95" t="s">
        <v>73</v>
      </c>
      <c r="B93" s="42" t="s">
        <v>148</v>
      </c>
      <c r="C93" s="43" t="s">
        <v>190</v>
      </c>
      <c r="D93" s="60">
        <v>1</v>
      </c>
      <c r="E93" s="61"/>
      <c r="F93" s="93">
        <v>1</v>
      </c>
      <c r="G93" s="46">
        <v>1</v>
      </c>
    </row>
    <row r="94" spans="1:7" ht="20.100000000000001" customHeight="1" x14ac:dyDescent="0.2">
      <c r="A94" s="98" t="s">
        <v>74</v>
      </c>
      <c r="B94" s="55" t="s">
        <v>149</v>
      </c>
      <c r="C94" s="53" t="s">
        <v>191</v>
      </c>
      <c r="D94" s="60">
        <v>1</v>
      </c>
      <c r="E94" s="61"/>
      <c r="F94" s="93">
        <v>1</v>
      </c>
      <c r="G94" s="46">
        <v>1</v>
      </c>
    </row>
    <row r="95" spans="1:7" ht="20.100000000000001" customHeight="1" x14ac:dyDescent="0.2">
      <c r="A95" s="98" t="s">
        <v>75</v>
      </c>
      <c r="B95" s="42" t="s">
        <v>192</v>
      </c>
      <c r="C95" s="43" t="s">
        <v>193</v>
      </c>
      <c r="D95" s="60">
        <v>1</v>
      </c>
      <c r="E95" s="61"/>
      <c r="F95" s="93">
        <v>1</v>
      </c>
      <c r="G95" s="46">
        <v>1</v>
      </c>
    </row>
    <row r="96" spans="1:7" ht="20.100000000000001" customHeight="1" x14ac:dyDescent="0.2">
      <c r="A96" s="98" t="s">
        <v>76</v>
      </c>
      <c r="B96" s="55" t="s">
        <v>150</v>
      </c>
      <c r="C96" s="53" t="s">
        <v>194</v>
      </c>
      <c r="D96" s="60">
        <v>1</v>
      </c>
      <c r="E96" s="61"/>
      <c r="F96" s="93">
        <v>1</v>
      </c>
      <c r="G96" s="46">
        <v>1</v>
      </c>
    </row>
    <row r="97" spans="1:7" ht="20.100000000000001" customHeight="1" x14ac:dyDescent="0.2">
      <c r="A97" s="98"/>
      <c r="B97" s="42" t="s">
        <v>36</v>
      </c>
      <c r="C97" s="43"/>
      <c r="D97" s="60">
        <v>1</v>
      </c>
      <c r="E97" s="61"/>
      <c r="F97" s="93"/>
      <c r="G97" s="46"/>
    </row>
    <row r="98" spans="1:7" ht="20.100000000000001" customHeight="1" x14ac:dyDescent="0.2">
      <c r="A98" s="95" t="s">
        <v>42</v>
      </c>
      <c r="B98" s="42" t="s">
        <v>151</v>
      </c>
      <c r="C98" s="43" t="s">
        <v>195</v>
      </c>
      <c r="D98" s="60">
        <v>1</v>
      </c>
      <c r="E98" s="61"/>
      <c r="F98" s="93">
        <v>1</v>
      </c>
      <c r="G98" s="46">
        <v>1</v>
      </c>
    </row>
    <row r="99" spans="1:7" ht="20.100000000000001" customHeight="1" x14ac:dyDescent="0.2">
      <c r="A99" s="95" t="s">
        <v>43</v>
      </c>
      <c r="B99" s="50">
        <v>190703707</v>
      </c>
      <c r="C99" s="59" t="s">
        <v>196</v>
      </c>
      <c r="D99" s="60">
        <v>1</v>
      </c>
      <c r="E99" s="61"/>
      <c r="F99" s="93">
        <v>1</v>
      </c>
      <c r="G99" s="46">
        <v>1</v>
      </c>
    </row>
    <row r="100" spans="1:7" ht="20.100000000000001" customHeight="1" x14ac:dyDescent="0.25">
      <c r="A100" s="95" t="s">
        <v>44</v>
      </c>
      <c r="B100" s="50" t="s">
        <v>152</v>
      </c>
      <c r="C100" s="59" t="s">
        <v>197</v>
      </c>
      <c r="D100" s="62">
        <v>11</v>
      </c>
      <c r="E100" s="61"/>
      <c r="F100" s="93">
        <v>1</v>
      </c>
      <c r="G100" s="46">
        <v>11</v>
      </c>
    </row>
    <row r="101" spans="1:7" ht="20.100000000000001" customHeight="1" x14ac:dyDescent="0.2">
      <c r="A101" s="95" t="s">
        <v>45</v>
      </c>
      <c r="B101" s="50">
        <v>1405040036</v>
      </c>
      <c r="C101" s="59" t="s">
        <v>198</v>
      </c>
      <c r="D101" s="60">
        <v>10</v>
      </c>
      <c r="E101" s="61"/>
      <c r="F101" s="46">
        <v>1</v>
      </c>
      <c r="G101" s="46">
        <v>10</v>
      </c>
    </row>
    <row r="102" spans="1:7" ht="20.100000000000001" customHeight="1" x14ac:dyDescent="0.2">
      <c r="A102" s="95" t="s">
        <v>46</v>
      </c>
      <c r="B102" s="50" t="s">
        <v>153</v>
      </c>
      <c r="C102" s="59" t="s">
        <v>199</v>
      </c>
      <c r="D102" s="60">
        <v>10</v>
      </c>
      <c r="E102" s="61"/>
      <c r="F102" s="93">
        <v>1</v>
      </c>
      <c r="G102" s="46">
        <v>10</v>
      </c>
    </row>
    <row r="103" spans="1:7" ht="20.100000000000001" customHeight="1" x14ac:dyDescent="0.2">
      <c r="A103" s="95" t="s">
        <v>47</v>
      </c>
      <c r="B103" s="50" t="s">
        <v>154</v>
      </c>
      <c r="C103" s="59" t="s">
        <v>200</v>
      </c>
      <c r="D103" s="60">
        <v>10</v>
      </c>
      <c r="E103" s="61"/>
      <c r="F103" s="93">
        <v>1</v>
      </c>
      <c r="G103" s="46">
        <v>10</v>
      </c>
    </row>
    <row r="104" spans="1:7" ht="20.100000000000001" customHeight="1" x14ac:dyDescent="0.2">
      <c r="A104" s="98" t="s">
        <v>76</v>
      </c>
      <c r="B104" s="55" t="s">
        <v>150</v>
      </c>
      <c r="C104" s="59" t="s">
        <v>194</v>
      </c>
      <c r="D104" s="60">
        <v>10</v>
      </c>
      <c r="E104" s="61"/>
      <c r="F104" s="93">
        <v>1</v>
      </c>
      <c r="G104" s="46">
        <v>10</v>
      </c>
    </row>
    <row r="105" spans="1:7" ht="20.100000000000001" customHeight="1" x14ac:dyDescent="0.2">
      <c r="A105" s="98"/>
      <c r="B105" s="42" t="s">
        <v>36</v>
      </c>
      <c r="C105" s="59"/>
      <c r="D105" s="60">
        <v>10</v>
      </c>
      <c r="E105" s="61"/>
      <c r="F105" s="93"/>
      <c r="G105" s="46"/>
    </row>
    <row r="106" spans="1:7" ht="20.100000000000001" customHeight="1" x14ac:dyDescent="0.2">
      <c r="A106" s="95" t="s">
        <v>42</v>
      </c>
      <c r="B106" s="42" t="s">
        <v>151</v>
      </c>
      <c r="C106" s="59" t="s">
        <v>195</v>
      </c>
      <c r="D106" s="60">
        <v>10</v>
      </c>
      <c r="E106" s="61"/>
      <c r="F106" s="93">
        <v>1</v>
      </c>
      <c r="G106" s="46">
        <v>10</v>
      </c>
    </row>
    <row r="107" spans="1:7" ht="20.100000000000001" customHeight="1" x14ac:dyDescent="0.2">
      <c r="A107" s="95" t="s">
        <v>43</v>
      </c>
      <c r="B107" s="50">
        <v>190703707</v>
      </c>
      <c r="C107" s="59" t="s">
        <v>196</v>
      </c>
      <c r="D107" s="60">
        <v>10</v>
      </c>
      <c r="E107" s="61"/>
      <c r="F107" s="93">
        <v>1</v>
      </c>
      <c r="G107" s="46">
        <v>10</v>
      </c>
    </row>
    <row r="108" spans="1:7" ht="20.100000000000001" customHeight="1" x14ac:dyDescent="0.2">
      <c r="A108" s="95" t="s">
        <v>44</v>
      </c>
      <c r="B108" s="50" t="s">
        <v>152</v>
      </c>
      <c r="C108" s="59" t="s">
        <v>197</v>
      </c>
      <c r="D108" s="60">
        <v>10</v>
      </c>
      <c r="E108" s="61"/>
      <c r="F108" s="93">
        <v>1</v>
      </c>
      <c r="G108" s="46">
        <v>10</v>
      </c>
    </row>
    <row r="109" spans="1:7" ht="20.100000000000001" customHeight="1" x14ac:dyDescent="0.2">
      <c r="A109" s="95" t="s">
        <v>45</v>
      </c>
      <c r="B109" s="50">
        <v>1405040036</v>
      </c>
      <c r="C109" s="61" t="s">
        <v>198</v>
      </c>
      <c r="D109" s="60">
        <v>10</v>
      </c>
      <c r="E109" s="61"/>
      <c r="F109" s="93">
        <v>1</v>
      </c>
      <c r="G109" s="46">
        <v>10</v>
      </c>
    </row>
    <row r="110" spans="1:7" ht="20.100000000000001" customHeight="1" x14ac:dyDescent="0.2">
      <c r="A110" s="95" t="s">
        <v>46</v>
      </c>
      <c r="B110" s="50" t="s">
        <v>153</v>
      </c>
      <c r="C110" s="61" t="s">
        <v>199</v>
      </c>
      <c r="D110" s="60">
        <v>10</v>
      </c>
      <c r="E110" s="61"/>
      <c r="F110" s="93">
        <v>1</v>
      </c>
      <c r="G110" s="46">
        <v>10</v>
      </c>
    </row>
    <row r="111" spans="1:7" ht="20.100000000000001" customHeight="1" x14ac:dyDescent="0.2">
      <c r="A111" s="95" t="s">
        <v>47</v>
      </c>
      <c r="B111" s="50" t="s">
        <v>154</v>
      </c>
      <c r="C111" s="61" t="s">
        <v>200</v>
      </c>
      <c r="D111" s="60">
        <v>1</v>
      </c>
      <c r="E111" s="61"/>
      <c r="F111" s="93">
        <v>1</v>
      </c>
      <c r="G111" s="46">
        <v>1</v>
      </c>
    </row>
    <row r="112" spans="1:7" ht="20.100000000000001" customHeight="1" x14ac:dyDescent="0.25">
      <c r="A112" s="95" t="s">
        <v>48</v>
      </c>
      <c r="B112" s="50" t="s">
        <v>155</v>
      </c>
      <c r="C112" s="61" t="s">
        <v>201</v>
      </c>
      <c r="D112" s="62">
        <v>101</v>
      </c>
      <c r="E112" s="61"/>
      <c r="F112" s="93">
        <v>1</v>
      </c>
      <c r="G112" s="46">
        <v>101</v>
      </c>
    </row>
    <row r="113" spans="1:7" ht="20.100000000000001" customHeight="1" x14ac:dyDescent="0.2">
      <c r="A113" s="95" t="s">
        <v>49</v>
      </c>
      <c r="B113" s="50" t="s">
        <v>156</v>
      </c>
      <c r="C113" s="61" t="s">
        <v>202</v>
      </c>
      <c r="D113" s="60">
        <v>2</v>
      </c>
      <c r="E113" s="61"/>
      <c r="F113" s="93">
        <v>1</v>
      </c>
      <c r="G113" s="46">
        <v>2</v>
      </c>
    </row>
    <row r="114" spans="1:7" ht="20.100000000000001" customHeight="1" x14ac:dyDescent="0.2">
      <c r="A114" s="95" t="s">
        <v>49</v>
      </c>
      <c r="B114" s="50" t="s">
        <v>156</v>
      </c>
      <c r="C114" s="61" t="s">
        <v>202</v>
      </c>
      <c r="D114" s="60">
        <v>2</v>
      </c>
      <c r="E114" s="61"/>
      <c r="F114" s="93">
        <v>1</v>
      </c>
      <c r="G114" s="46">
        <v>2</v>
      </c>
    </row>
    <row r="115" spans="1:7" ht="20.100000000000001" customHeight="1" x14ac:dyDescent="0.2">
      <c r="A115" s="95" t="s">
        <v>49</v>
      </c>
      <c r="B115" s="50" t="s">
        <v>156</v>
      </c>
      <c r="C115" s="61" t="s">
        <v>202</v>
      </c>
      <c r="D115" s="60">
        <v>2</v>
      </c>
      <c r="E115" s="61"/>
      <c r="F115" s="93">
        <v>1</v>
      </c>
      <c r="G115" s="46">
        <v>2</v>
      </c>
    </row>
    <row r="116" spans="1:7" ht="20.100000000000001" customHeight="1" x14ac:dyDescent="0.2">
      <c r="A116" s="95" t="s">
        <v>49</v>
      </c>
      <c r="B116" s="50" t="s">
        <v>156</v>
      </c>
      <c r="C116" s="61" t="s">
        <v>202</v>
      </c>
      <c r="D116" s="60">
        <v>2</v>
      </c>
      <c r="E116" s="61"/>
      <c r="F116" s="93">
        <v>1</v>
      </c>
      <c r="G116" s="46">
        <v>2</v>
      </c>
    </row>
    <row r="117" spans="1:7" ht="20.100000000000001" customHeight="1" x14ac:dyDescent="0.2">
      <c r="A117" s="95" t="s">
        <v>49</v>
      </c>
      <c r="B117" s="50" t="s">
        <v>156</v>
      </c>
      <c r="C117" s="61" t="s">
        <v>202</v>
      </c>
      <c r="D117" s="60">
        <v>2</v>
      </c>
      <c r="E117" s="61"/>
      <c r="F117" s="93">
        <v>1</v>
      </c>
      <c r="G117" s="46">
        <v>2</v>
      </c>
    </row>
    <row r="118" spans="1:7" ht="20.100000000000001" customHeight="1" x14ac:dyDescent="0.2">
      <c r="A118" s="95" t="s">
        <v>49</v>
      </c>
      <c r="B118" s="50" t="s">
        <v>156</v>
      </c>
      <c r="C118" s="61" t="s">
        <v>202</v>
      </c>
      <c r="D118" s="60">
        <v>2</v>
      </c>
      <c r="E118" s="61"/>
      <c r="F118" s="93">
        <v>1</v>
      </c>
      <c r="G118" s="46">
        <v>2</v>
      </c>
    </row>
    <row r="119" spans="1:7" ht="20.100000000000001" customHeight="1" x14ac:dyDescent="0.2">
      <c r="A119" s="95" t="s">
        <v>49</v>
      </c>
      <c r="B119" s="50" t="s">
        <v>156</v>
      </c>
      <c r="C119" s="61" t="s">
        <v>202</v>
      </c>
      <c r="D119" s="60">
        <v>2</v>
      </c>
      <c r="E119" s="61"/>
      <c r="F119" s="93">
        <v>1</v>
      </c>
      <c r="G119" s="46">
        <v>2</v>
      </c>
    </row>
    <row r="120" spans="1:7" ht="20.100000000000001" customHeight="1" x14ac:dyDescent="0.2">
      <c r="A120" s="95" t="s">
        <v>49</v>
      </c>
      <c r="B120" s="50" t="s">
        <v>156</v>
      </c>
      <c r="C120" s="61" t="s">
        <v>202</v>
      </c>
      <c r="D120" s="60">
        <v>2</v>
      </c>
      <c r="E120" s="61"/>
      <c r="F120" s="93">
        <v>1</v>
      </c>
      <c r="G120" s="46">
        <v>2</v>
      </c>
    </row>
    <row r="121" spans="1:7" ht="20.100000000000001" customHeight="1" x14ac:dyDescent="0.2">
      <c r="A121" s="95" t="s">
        <v>49</v>
      </c>
      <c r="B121" s="50" t="s">
        <v>156</v>
      </c>
      <c r="C121" s="61" t="s">
        <v>202</v>
      </c>
      <c r="D121" s="60">
        <v>2</v>
      </c>
      <c r="E121" s="61"/>
      <c r="F121" s="93">
        <v>1</v>
      </c>
      <c r="G121" s="46">
        <v>2</v>
      </c>
    </row>
    <row r="122" spans="1:7" ht="20.100000000000001" customHeight="1" x14ac:dyDescent="0.2">
      <c r="A122" s="95" t="s">
        <v>49</v>
      </c>
      <c r="B122" s="50" t="s">
        <v>156</v>
      </c>
      <c r="C122" s="61" t="s">
        <v>202</v>
      </c>
      <c r="D122" s="60">
        <v>2</v>
      </c>
      <c r="E122" s="61"/>
      <c r="F122" s="93">
        <v>1</v>
      </c>
      <c r="G122" s="46">
        <v>2</v>
      </c>
    </row>
    <row r="123" spans="1:7" ht="20.100000000000001" customHeight="1" x14ac:dyDescent="0.2">
      <c r="A123" s="95" t="s">
        <v>49</v>
      </c>
      <c r="B123" s="50" t="s">
        <v>156</v>
      </c>
      <c r="C123" s="61" t="s">
        <v>202</v>
      </c>
      <c r="D123" s="60">
        <v>2</v>
      </c>
      <c r="E123" s="61"/>
      <c r="F123" s="93">
        <v>1</v>
      </c>
      <c r="G123" s="46">
        <v>2</v>
      </c>
    </row>
    <row r="124" spans="1:7" ht="20.100000000000001" customHeight="1" x14ac:dyDescent="0.25">
      <c r="A124" s="95" t="s">
        <v>49</v>
      </c>
      <c r="B124" s="50" t="s">
        <v>156</v>
      </c>
      <c r="C124" s="63" t="s">
        <v>202</v>
      </c>
      <c r="D124" s="57">
        <v>22</v>
      </c>
      <c r="E124" s="61"/>
      <c r="F124" s="93">
        <v>1</v>
      </c>
      <c r="G124" s="46">
        <v>22</v>
      </c>
    </row>
    <row r="125" spans="1:7" ht="20.100000000000001" customHeight="1" x14ac:dyDescent="0.25">
      <c r="A125" s="95" t="s">
        <v>49</v>
      </c>
      <c r="B125" s="50" t="s">
        <v>156</v>
      </c>
      <c r="C125" s="61" t="s">
        <v>202</v>
      </c>
      <c r="D125" s="62"/>
      <c r="E125" s="61"/>
      <c r="F125" s="93">
        <v>1</v>
      </c>
      <c r="G125" s="46">
        <v>0</v>
      </c>
    </row>
    <row r="126" spans="1:7" ht="20.100000000000001" customHeight="1" x14ac:dyDescent="0.25">
      <c r="A126" s="64"/>
      <c r="B126" s="65"/>
      <c r="C126" s="66"/>
      <c r="D126" s="67"/>
      <c r="E126" s="66"/>
      <c r="F126" s="102" t="s">
        <v>39</v>
      </c>
      <c r="G126" s="100">
        <f>SUM(G24:G125)</f>
        <v>399</v>
      </c>
    </row>
    <row r="127" spans="1:7" ht="20.100000000000001" customHeight="1" x14ac:dyDescent="0.25">
      <c r="A127" s="64"/>
      <c r="B127" s="65"/>
      <c r="C127" s="66"/>
      <c r="D127" s="67"/>
      <c r="E127" s="66"/>
      <c r="F127" s="101" t="s">
        <v>40</v>
      </c>
      <c r="G127" s="100">
        <f>G126*12/100</f>
        <v>47.88</v>
      </c>
    </row>
    <row r="128" spans="1:7" ht="20.100000000000001" customHeight="1" x14ac:dyDescent="0.25">
      <c r="A128" s="64"/>
      <c r="B128" s="65"/>
      <c r="C128" s="66"/>
      <c r="D128" s="67"/>
      <c r="E128" s="66"/>
      <c r="F128" s="101" t="s">
        <v>41</v>
      </c>
      <c r="G128" s="100">
        <f>SUM(G126:G127)</f>
        <v>446.88</v>
      </c>
    </row>
    <row r="129" spans="1:7" ht="20.100000000000001" customHeight="1" x14ac:dyDescent="0.25">
      <c r="A129" s="64"/>
      <c r="B129" s="65"/>
      <c r="C129" s="66"/>
      <c r="D129" s="67"/>
      <c r="E129" s="66"/>
      <c r="F129" s="68"/>
      <c r="G129" s="94"/>
    </row>
    <row r="130" spans="1:7" ht="20.100000000000001" customHeight="1" x14ac:dyDescent="0.25">
      <c r="A130" s="69"/>
      <c r="B130" s="113" t="s">
        <v>84</v>
      </c>
      <c r="C130" s="114"/>
      <c r="D130" s="70"/>
      <c r="E130" s="70"/>
      <c r="F130" s="70"/>
      <c r="G130" s="71"/>
    </row>
    <row r="131" spans="1:7" ht="20.100000000000001" customHeight="1" x14ac:dyDescent="0.25">
      <c r="A131" s="69"/>
      <c r="B131" s="72" t="s">
        <v>31</v>
      </c>
      <c r="C131" s="72" t="s">
        <v>85</v>
      </c>
      <c r="D131" s="70"/>
      <c r="E131" s="70"/>
      <c r="F131" s="70"/>
      <c r="G131" s="71"/>
    </row>
    <row r="132" spans="1:7" ht="20.100000000000001" customHeight="1" x14ac:dyDescent="0.25">
      <c r="A132" s="69"/>
      <c r="B132" s="73"/>
      <c r="C132" s="72" t="s">
        <v>86</v>
      </c>
      <c r="D132" s="70"/>
      <c r="E132" s="70"/>
      <c r="F132" s="70"/>
      <c r="G132" s="70"/>
    </row>
    <row r="133" spans="1:7" ht="20.100000000000001" customHeight="1" x14ac:dyDescent="0.25">
      <c r="A133" s="69"/>
      <c r="B133" s="50">
        <v>1</v>
      </c>
      <c r="C133" s="63" t="s">
        <v>87</v>
      </c>
      <c r="D133" s="74"/>
      <c r="E133" s="74"/>
      <c r="F133" s="74"/>
      <c r="G133" s="75"/>
    </row>
    <row r="134" spans="1:7" ht="20.100000000000001" customHeight="1" x14ac:dyDescent="0.2">
      <c r="A134" s="69"/>
      <c r="B134" s="76">
        <v>1</v>
      </c>
      <c r="C134" s="63" t="s">
        <v>88</v>
      </c>
      <c r="D134" s="97"/>
      <c r="E134" s="97"/>
      <c r="F134" s="97"/>
      <c r="G134" s="77"/>
    </row>
    <row r="135" spans="1:7" ht="20.100000000000001" customHeight="1" x14ac:dyDescent="0.2">
      <c r="A135" s="69"/>
      <c r="B135" s="50">
        <v>1</v>
      </c>
      <c r="C135" s="63" t="s">
        <v>89</v>
      </c>
      <c r="D135" s="97"/>
      <c r="E135" s="97"/>
      <c r="F135" s="97"/>
      <c r="G135" s="77"/>
    </row>
    <row r="136" spans="1:7" ht="20.100000000000001" customHeight="1" x14ac:dyDescent="0.2">
      <c r="A136" s="69"/>
      <c r="B136" s="50">
        <v>1</v>
      </c>
      <c r="C136" s="63" t="s">
        <v>90</v>
      </c>
      <c r="D136" s="97"/>
      <c r="E136" s="97"/>
      <c r="F136" s="97"/>
      <c r="G136" s="77"/>
    </row>
    <row r="137" spans="1:7" ht="20.100000000000001" customHeight="1" x14ac:dyDescent="0.2">
      <c r="A137" s="69"/>
      <c r="B137" s="50">
        <v>1</v>
      </c>
      <c r="C137" s="63" t="s">
        <v>91</v>
      </c>
      <c r="D137" s="97"/>
      <c r="E137" s="97"/>
      <c r="F137" s="97"/>
      <c r="G137" s="77"/>
    </row>
    <row r="138" spans="1:7" ht="20.100000000000001" customHeight="1" x14ac:dyDescent="0.2">
      <c r="A138" s="69"/>
      <c r="B138" s="50">
        <v>1</v>
      </c>
      <c r="C138" s="63" t="s">
        <v>92</v>
      </c>
      <c r="D138" s="97"/>
      <c r="E138" s="97"/>
      <c r="F138" s="97"/>
      <c r="G138" s="77"/>
    </row>
    <row r="139" spans="1:7" ht="20.100000000000001" customHeight="1" x14ac:dyDescent="0.2">
      <c r="A139" s="69"/>
      <c r="B139" s="50">
        <v>1</v>
      </c>
      <c r="C139" s="63" t="s">
        <v>93</v>
      </c>
      <c r="D139" s="97"/>
      <c r="E139" s="97"/>
      <c r="F139" s="97"/>
      <c r="G139" s="77"/>
    </row>
    <row r="140" spans="1:7" ht="20.100000000000001" customHeight="1" x14ac:dyDescent="0.2">
      <c r="A140" s="69"/>
      <c r="B140" s="50">
        <v>1</v>
      </c>
      <c r="C140" s="63" t="s">
        <v>94</v>
      </c>
      <c r="D140" s="97"/>
      <c r="E140" s="97"/>
      <c r="F140" s="97"/>
      <c r="G140" s="77"/>
    </row>
    <row r="141" spans="1:7" ht="20.100000000000001" customHeight="1" x14ac:dyDescent="0.2">
      <c r="A141" s="69"/>
      <c r="B141" s="50">
        <v>1</v>
      </c>
      <c r="C141" s="63" t="s">
        <v>95</v>
      </c>
      <c r="D141" s="97"/>
      <c r="E141" s="97"/>
      <c r="F141" s="97"/>
      <c r="G141" s="77"/>
    </row>
    <row r="142" spans="1:7" ht="20.100000000000001" customHeight="1" x14ac:dyDescent="0.2">
      <c r="A142" s="69"/>
      <c r="B142" s="78">
        <v>2</v>
      </c>
      <c r="C142" s="63" t="s">
        <v>96</v>
      </c>
      <c r="D142" s="97"/>
      <c r="E142" s="97"/>
      <c r="F142" s="97"/>
      <c r="G142" s="77"/>
    </row>
    <row r="143" spans="1:7" ht="20.100000000000001" customHeight="1" x14ac:dyDescent="0.2">
      <c r="A143" s="69"/>
      <c r="B143" s="50">
        <v>2</v>
      </c>
      <c r="C143" s="63" t="s">
        <v>97</v>
      </c>
      <c r="D143" s="97"/>
      <c r="E143" s="97"/>
      <c r="F143" s="97"/>
      <c r="G143" s="77"/>
    </row>
    <row r="144" spans="1:7" ht="20.100000000000001" customHeight="1" x14ac:dyDescent="0.2">
      <c r="A144" s="69"/>
      <c r="B144" s="50">
        <v>1</v>
      </c>
      <c r="C144" s="63" t="s">
        <v>98</v>
      </c>
      <c r="D144" s="97"/>
      <c r="E144" s="97"/>
      <c r="F144" s="97"/>
      <c r="G144" s="77"/>
    </row>
    <row r="145" spans="1:7" ht="20.100000000000001" customHeight="1" x14ac:dyDescent="0.2">
      <c r="A145" s="69"/>
      <c r="B145" s="50">
        <v>2</v>
      </c>
      <c r="C145" s="63" t="s">
        <v>99</v>
      </c>
      <c r="D145" s="97"/>
      <c r="E145" s="97"/>
      <c r="F145" s="97"/>
      <c r="G145" s="77"/>
    </row>
    <row r="146" spans="1:7" ht="20.100000000000001" customHeight="1" x14ac:dyDescent="0.25">
      <c r="A146" s="69"/>
      <c r="B146" s="50">
        <v>2</v>
      </c>
      <c r="C146" s="63" t="s">
        <v>100</v>
      </c>
      <c r="D146" s="97"/>
      <c r="E146" s="97"/>
      <c r="F146" s="97"/>
      <c r="G146" s="75"/>
    </row>
    <row r="147" spans="1:7" ht="20.100000000000001" customHeight="1" x14ac:dyDescent="0.25">
      <c r="A147" s="69"/>
      <c r="B147" s="50">
        <v>2</v>
      </c>
      <c r="C147" s="63" t="s">
        <v>101</v>
      </c>
      <c r="D147" s="97"/>
      <c r="E147" s="97"/>
      <c r="F147" s="97"/>
      <c r="G147" s="75"/>
    </row>
    <row r="148" spans="1:7" ht="20.100000000000001" customHeight="1" x14ac:dyDescent="0.25">
      <c r="A148" s="69"/>
      <c r="B148" s="50">
        <v>2</v>
      </c>
      <c r="C148" s="63" t="s">
        <v>102</v>
      </c>
      <c r="D148" s="70"/>
      <c r="E148" s="70"/>
      <c r="F148" s="70"/>
      <c r="G148" s="75"/>
    </row>
    <row r="149" spans="1:7" ht="20.100000000000001" customHeight="1" x14ac:dyDescent="0.2">
      <c r="A149" s="69"/>
      <c r="B149" s="50">
        <v>2</v>
      </c>
      <c r="C149" s="63" t="s">
        <v>103</v>
      </c>
      <c r="D149" s="97"/>
      <c r="E149" s="97"/>
      <c r="F149" s="97"/>
      <c r="G149" s="77"/>
    </row>
    <row r="150" spans="1:7" ht="20.100000000000001" customHeight="1" x14ac:dyDescent="0.2">
      <c r="A150" s="69"/>
      <c r="B150" s="50">
        <v>1</v>
      </c>
      <c r="C150" s="63" t="s">
        <v>104</v>
      </c>
      <c r="D150" s="97"/>
      <c r="E150" s="97"/>
      <c r="F150" s="97"/>
      <c r="G150" s="77"/>
    </row>
    <row r="151" spans="1:7" ht="20.100000000000001" customHeight="1" x14ac:dyDescent="0.2">
      <c r="A151" s="69"/>
      <c r="B151" s="50">
        <v>10</v>
      </c>
      <c r="C151" s="63" t="s">
        <v>105</v>
      </c>
      <c r="D151" s="97"/>
      <c r="E151" s="97"/>
      <c r="F151" s="97"/>
      <c r="G151" s="77"/>
    </row>
    <row r="152" spans="1:7" ht="20.100000000000001" customHeight="1" x14ac:dyDescent="0.2">
      <c r="A152" s="69"/>
      <c r="B152" s="50">
        <v>35</v>
      </c>
      <c r="C152" s="63"/>
      <c r="D152" s="97"/>
      <c r="E152" s="97"/>
      <c r="F152" s="97"/>
      <c r="G152" s="77"/>
    </row>
    <row r="153" spans="1:7" ht="20.100000000000001" customHeight="1" x14ac:dyDescent="0.2">
      <c r="A153" s="69"/>
      <c r="B153" s="69"/>
      <c r="C153" s="69"/>
      <c r="D153" s="97"/>
      <c r="E153" s="97"/>
      <c r="F153" s="97"/>
      <c r="G153" s="77"/>
    </row>
    <row r="154" spans="1:7" ht="20.100000000000001" customHeight="1" x14ac:dyDescent="0.25">
      <c r="A154" s="69"/>
      <c r="B154" s="79"/>
      <c r="C154" s="57" t="s">
        <v>33</v>
      </c>
      <c r="D154" s="97"/>
      <c r="E154" s="97"/>
      <c r="F154" s="97"/>
      <c r="G154" s="77"/>
    </row>
    <row r="155" spans="1:7" ht="20.100000000000001" customHeight="1" x14ac:dyDescent="0.2">
      <c r="A155" s="69"/>
      <c r="B155" s="76">
        <v>1</v>
      </c>
      <c r="C155" s="73" t="s">
        <v>106</v>
      </c>
      <c r="D155" s="97"/>
      <c r="E155" s="97"/>
      <c r="F155" s="97"/>
      <c r="G155" s="77"/>
    </row>
    <row r="156" spans="1:7" ht="20.100000000000001" customHeight="1" x14ac:dyDescent="0.2">
      <c r="A156" s="69"/>
      <c r="B156" s="50">
        <v>1</v>
      </c>
      <c r="C156" s="63" t="s">
        <v>107</v>
      </c>
      <c r="D156" s="97"/>
      <c r="E156" s="97"/>
      <c r="F156" s="97"/>
      <c r="G156" s="77"/>
    </row>
    <row r="157" spans="1:7" ht="20.100000000000001" customHeight="1" x14ac:dyDescent="0.2">
      <c r="A157" s="69"/>
      <c r="B157" s="50">
        <v>1</v>
      </c>
      <c r="C157" s="63" t="s">
        <v>108</v>
      </c>
      <c r="D157" s="97"/>
      <c r="E157" s="97"/>
      <c r="F157" s="97"/>
      <c r="G157" s="77"/>
    </row>
    <row r="158" spans="1:7" ht="20.100000000000001" customHeight="1" x14ac:dyDescent="0.2">
      <c r="A158" s="69"/>
      <c r="B158" s="50">
        <v>1</v>
      </c>
      <c r="C158" s="63" t="s">
        <v>109</v>
      </c>
      <c r="D158" s="97"/>
      <c r="E158" s="97"/>
      <c r="F158" s="97"/>
      <c r="G158" s="77"/>
    </row>
    <row r="159" spans="1:7" ht="20.100000000000001" customHeight="1" x14ac:dyDescent="0.2">
      <c r="A159" s="69"/>
      <c r="B159" s="50">
        <v>1</v>
      </c>
      <c r="C159" s="63" t="s">
        <v>110</v>
      </c>
      <c r="D159" s="97"/>
      <c r="E159" s="97"/>
      <c r="F159" s="97"/>
      <c r="G159" s="77"/>
    </row>
    <row r="160" spans="1:7" ht="20.100000000000001" customHeight="1" x14ac:dyDescent="0.2">
      <c r="A160" s="69"/>
      <c r="B160" s="50">
        <v>1</v>
      </c>
      <c r="C160" s="63" t="s">
        <v>111</v>
      </c>
      <c r="D160" s="97"/>
      <c r="E160" s="97"/>
      <c r="F160" s="97"/>
      <c r="G160" s="77"/>
    </row>
    <row r="161" spans="1:7" ht="20.100000000000001" customHeight="1" x14ac:dyDescent="0.2">
      <c r="A161" s="69"/>
      <c r="B161" s="50">
        <v>1</v>
      </c>
      <c r="C161" s="63" t="s">
        <v>112</v>
      </c>
      <c r="D161" s="97"/>
      <c r="E161" s="97"/>
      <c r="F161" s="97"/>
      <c r="G161" s="77"/>
    </row>
    <row r="162" spans="1:7" ht="20.100000000000001" customHeight="1" x14ac:dyDescent="0.2">
      <c r="A162" s="69"/>
      <c r="B162" s="50">
        <v>1</v>
      </c>
      <c r="C162" s="63" t="s">
        <v>113</v>
      </c>
      <c r="D162" s="97"/>
      <c r="E162" s="97"/>
      <c r="F162" s="97"/>
      <c r="G162" s="77"/>
    </row>
    <row r="163" spans="1:7" ht="20.100000000000001" customHeight="1" x14ac:dyDescent="0.2">
      <c r="A163" s="69"/>
      <c r="B163" s="50">
        <v>1</v>
      </c>
      <c r="C163" s="63" t="s">
        <v>114</v>
      </c>
      <c r="D163" s="97"/>
      <c r="E163" s="97"/>
      <c r="F163" s="97"/>
      <c r="G163" s="77"/>
    </row>
    <row r="164" spans="1:7" ht="20.100000000000001" customHeight="1" x14ac:dyDescent="0.2">
      <c r="A164" s="69"/>
      <c r="B164" s="76">
        <v>1</v>
      </c>
      <c r="C164" s="63" t="s">
        <v>115</v>
      </c>
      <c r="D164" s="80"/>
      <c r="E164" s="80"/>
      <c r="F164" s="80"/>
      <c r="G164" s="81"/>
    </row>
    <row r="165" spans="1:7" ht="20.100000000000001" customHeight="1" x14ac:dyDescent="0.25">
      <c r="A165" s="69"/>
      <c r="B165" s="76">
        <v>1</v>
      </c>
      <c r="C165" s="63" t="s">
        <v>116</v>
      </c>
      <c r="D165" s="82"/>
      <c r="E165" s="82"/>
      <c r="F165" s="82"/>
      <c r="G165" s="83"/>
    </row>
    <row r="166" spans="1:7" ht="20.100000000000001" customHeight="1" x14ac:dyDescent="0.25">
      <c r="A166" s="69"/>
      <c r="B166" s="50">
        <v>1</v>
      </c>
      <c r="C166" s="63" t="s">
        <v>117</v>
      </c>
      <c r="D166" s="82"/>
      <c r="E166" s="82"/>
      <c r="F166" s="82"/>
      <c r="G166" s="83"/>
    </row>
    <row r="167" spans="1:7" ht="20.100000000000001" customHeight="1" x14ac:dyDescent="0.25">
      <c r="A167" s="69"/>
      <c r="B167" s="50">
        <v>1</v>
      </c>
      <c r="C167" s="63" t="s">
        <v>118</v>
      </c>
      <c r="D167" s="82"/>
      <c r="E167" s="82"/>
      <c r="F167" s="82"/>
      <c r="G167" s="83"/>
    </row>
    <row r="168" spans="1:7" ht="20.100000000000001" customHeight="1" x14ac:dyDescent="0.25">
      <c r="A168" s="69"/>
      <c r="B168" s="72">
        <v>12</v>
      </c>
      <c r="C168" s="72"/>
      <c r="D168" s="83"/>
      <c r="E168" s="83"/>
      <c r="F168" s="83"/>
      <c r="G168" s="83"/>
    </row>
    <row r="169" spans="1:7" ht="20.100000000000001" customHeight="1" x14ac:dyDescent="0.25">
      <c r="A169" s="69"/>
      <c r="B169" s="72"/>
      <c r="C169" s="72"/>
      <c r="D169" s="83"/>
      <c r="E169" s="83"/>
      <c r="F169" s="83"/>
      <c r="G169" s="83"/>
    </row>
    <row r="170" spans="1:7" ht="20.100000000000001" customHeight="1" x14ac:dyDescent="0.25">
      <c r="A170" s="69"/>
      <c r="B170" s="76">
        <v>1</v>
      </c>
      <c r="C170" s="63" t="s">
        <v>119</v>
      </c>
      <c r="D170" s="83"/>
      <c r="E170" s="83"/>
      <c r="F170" s="83"/>
      <c r="G170" s="83"/>
    </row>
    <row r="171" spans="1:7" ht="20.100000000000001" customHeight="1" x14ac:dyDescent="0.25">
      <c r="A171" s="69"/>
      <c r="B171" s="76">
        <v>4</v>
      </c>
      <c r="C171" s="63" t="s">
        <v>120</v>
      </c>
      <c r="D171" s="83"/>
      <c r="E171" s="83"/>
      <c r="F171" s="83"/>
      <c r="G171" s="83"/>
    </row>
    <row r="172" spans="1:7" ht="20.100000000000001" customHeight="1" x14ac:dyDescent="0.25">
      <c r="A172" s="69"/>
      <c r="B172" s="50">
        <v>1</v>
      </c>
      <c r="C172" s="63" t="s">
        <v>121</v>
      </c>
      <c r="D172" s="83"/>
      <c r="E172" s="83"/>
      <c r="F172" s="83"/>
      <c r="G172" s="83"/>
    </row>
    <row r="173" spans="1:7" ht="20.100000000000001" customHeight="1" x14ac:dyDescent="0.25">
      <c r="A173" s="69"/>
      <c r="B173" s="50">
        <v>3</v>
      </c>
      <c r="C173" s="63" t="s">
        <v>122</v>
      </c>
      <c r="D173" s="84"/>
      <c r="E173" s="84"/>
      <c r="F173" s="84"/>
      <c r="G173" s="85"/>
    </row>
    <row r="174" spans="1:7" ht="20.100000000000001" customHeight="1" x14ac:dyDescent="0.2">
      <c r="A174" s="97"/>
      <c r="B174" s="50">
        <v>2</v>
      </c>
      <c r="C174" s="63" t="s">
        <v>123</v>
      </c>
      <c r="D174" s="97"/>
      <c r="E174" s="97"/>
      <c r="F174" s="97"/>
      <c r="G174" s="97"/>
    </row>
    <row r="175" spans="1:7" ht="20.100000000000001" customHeight="1" x14ac:dyDescent="0.25">
      <c r="A175" s="97"/>
      <c r="B175" s="57">
        <v>11</v>
      </c>
      <c r="C175" s="63"/>
      <c r="D175" s="97"/>
      <c r="E175" s="97"/>
      <c r="F175" s="97"/>
      <c r="G175" s="97"/>
    </row>
    <row r="176" spans="1:7" ht="20.100000000000001" customHeight="1" x14ac:dyDescent="0.2">
      <c r="A176" s="97"/>
      <c r="B176" s="65"/>
      <c r="C176" s="97"/>
      <c r="D176" s="97"/>
      <c r="E176" s="97"/>
      <c r="F176" s="97"/>
      <c r="G176" s="97"/>
    </row>
    <row r="177" spans="1:7" ht="20.100000000000001" customHeight="1" x14ac:dyDescent="0.25">
      <c r="A177" s="97"/>
      <c r="B177" s="86" t="s">
        <v>124</v>
      </c>
      <c r="C177" s="87" t="s">
        <v>125</v>
      </c>
      <c r="D177" s="97"/>
      <c r="E177" s="97"/>
      <c r="F177" s="97"/>
      <c r="G177" s="97"/>
    </row>
    <row r="178" spans="1:7" ht="20.100000000000001" customHeight="1" x14ac:dyDescent="0.25">
      <c r="A178" s="97"/>
      <c r="B178" s="86"/>
      <c r="C178" s="87" t="s">
        <v>126</v>
      </c>
      <c r="D178" s="97"/>
      <c r="E178" s="97"/>
      <c r="F178" s="97"/>
      <c r="G178" s="97"/>
    </row>
    <row r="179" spans="1:7" ht="20.100000000000001" customHeight="1" x14ac:dyDescent="0.25">
      <c r="A179" s="97"/>
      <c r="B179" s="86"/>
      <c r="C179" s="87" t="s">
        <v>127</v>
      </c>
      <c r="D179" s="97"/>
      <c r="E179" s="97"/>
      <c r="F179" s="97"/>
      <c r="G179" s="97"/>
    </row>
    <row r="180" spans="1:7" ht="20.100000000000001" customHeight="1" x14ac:dyDescent="0.25">
      <c r="A180" s="97"/>
      <c r="B180" s="86"/>
      <c r="C180" s="87" t="s">
        <v>128</v>
      </c>
      <c r="D180" s="97"/>
      <c r="E180" s="97"/>
      <c r="F180" s="97"/>
      <c r="G180" s="97"/>
    </row>
    <row r="181" spans="1:7" ht="20.100000000000001" customHeight="1" x14ac:dyDescent="0.2">
      <c r="A181" s="97"/>
      <c r="B181" s="65"/>
      <c r="C181" s="97"/>
      <c r="D181" s="97"/>
      <c r="E181" s="97"/>
      <c r="F181" s="97"/>
      <c r="G181" s="97"/>
    </row>
    <row r="182" spans="1:7" ht="20.100000000000001" customHeight="1" x14ac:dyDescent="0.2">
      <c r="A182" s="97"/>
      <c r="B182" s="65"/>
      <c r="C182" s="97"/>
      <c r="D182" s="97"/>
      <c r="E182" s="97"/>
      <c r="F182" s="97"/>
      <c r="G182" s="97"/>
    </row>
    <row r="183" spans="1:7" ht="20.100000000000001" customHeight="1" x14ac:dyDescent="0.2">
      <c r="A183" s="97"/>
      <c r="B183" s="97"/>
      <c r="C183" s="97"/>
      <c r="D183" s="97"/>
      <c r="E183" s="97"/>
      <c r="F183" s="97"/>
      <c r="G183" s="97"/>
    </row>
    <row r="184" spans="1:7" ht="20.100000000000001" customHeight="1" x14ac:dyDescent="0.2">
      <c r="A184" s="97"/>
      <c r="B184" s="97"/>
      <c r="C184" s="97"/>
      <c r="D184" s="97"/>
      <c r="E184" s="97"/>
      <c r="F184" s="97"/>
      <c r="G184" s="97"/>
    </row>
    <row r="185" spans="1:7" ht="20.100000000000001" customHeight="1" x14ac:dyDescent="0.2">
      <c r="B185" s="11"/>
      <c r="C185" s="96" t="s">
        <v>15</v>
      </c>
      <c r="D185" s="97"/>
      <c r="E185" s="97"/>
      <c r="F185" s="97"/>
      <c r="G185" s="97"/>
    </row>
    <row r="186" spans="1:7" ht="20.100000000000001" customHeight="1" x14ac:dyDescent="0.2">
      <c r="B186" s="11"/>
      <c r="C186" s="97"/>
      <c r="D186" s="97"/>
      <c r="E186" s="97"/>
      <c r="F186" s="97"/>
      <c r="G186" s="97"/>
    </row>
    <row r="187" spans="1:7" ht="20.100000000000001" customHeight="1" x14ac:dyDescent="0.2">
      <c r="B187" s="11"/>
      <c r="C187" s="97"/>
      <c r="D187" s="97"/>
      <c r="E187" s="97"/>
      <c r="F187" s="97"/>
      <c r="G187" s="97"/>
    </row>
    <row r="188" spans="1:7" ht="20.100000000000001" customHeight="1" x14ac:dyDescent="0.2">
      <c r="B188" s="11"/>
      <c r="C188" s="97"/>
      <c r="D188" s="97"/>
      <c r="E188" s="97"/>
      <c r="F188" s="97"/>
      <c r="G188" s="97"/>
    </row>
    <row r="189" spans="1:7" ht="20.100000000000001" customHeight="1" x14ac:dyDescent="0.2">
      <c r="B189" s="11"/>
      <c r="C189" s="96" t="s">
        <v>16</v>
      </c>
      <c r="D189" s="97"/>
      <c r="E189" s="97"/>
      <c r="F189" s="97"/>
      <c r="G189" s="97"/>
    </row>
    <row r="190" spans="1:7" ht="20.100000000000001" customHeight="1" x14ac:dyDescent="0.2">
      <c r="B190" s="11"/>
      <c r="C190" s="97"/>
      <c r="D190" s="97"/>
      <c r="E190" s="97"/>
      <c r="F190" s="97"/>
      <c r="G190" s="97"/>
    </row>
    <row r="191" spans="1:7" ht="20.100000000000001" customHeight="1" x14ac:dyDescent="0.2">
      <c r="B191" s="11"/>
      <c r="C191" s="88"/>
      <c r="D191" s="88"/>
      <c r="E191" s="97"/>
      <c r="F191" s="89"/>
      <c r="G191" s="89"/>
    </row>
    <row r="192" spans="1:7" ht="20.100000000000001" customHeight="1" x14ac:dyDescent="0.2">
      <c r="B192" s="11"/>
      <c r="C192" s="96" t="s">
        <v>129</v>
      </c>
      <c r="D192" s="97"/>
      <c r="E192" s="97"/>
      <c r="F192" s="89"/>
      <c r="G192" s="90"/>
    </row>
    <row r="193" spans="2:7" ht="20.100000000000001" customHeight="1" x14ac:dyDescent="0.2">
      <c r="B193" s="11"/>
      <c r="C193" s="69"/>
      <c r="D193" s="91"/>
      <c r="E193" s="97"/>
      <c r="F193" s="84"/>
      <c r="G193" s="90"/>
    </row>
    <row r="194" spans="2:7" ht="20.100000000000001" customHeight="1" x14ac:dyDescent="0.2">
      <c r="B194" s="11"/>
      <c r="C194" s="69"/>
      <c r="D194" s="91"/>
      <c r="E194" s="97"/>
      <c r="F194" s="84"/>
      <c r="G194" s="90"/>
    </row>
    <row r="195" spans="2:7" ht="20.100000000000001" customHeight="1" x14ac:dyDescent="0.2">
      <c r="B195" s="11"/>
      <c r="C195" s="96" t="s">
        <v>17</v>
      </c>
      <c r="D195" s="91"/>
      <c r="E195" s="97"/>
      <c r="F195" s="84"/>
      <c r="G195" s="90"/>
    </row>
    <row r="196" spans="2:7" ht="20.100000000000001" customHeight="1" x14ac:dyDescent="0.2">
      <c r="B196" s="11"/>
      <c r="C196" s="69"/>
      <c r="D196" s="91"/>
      <c r="E196" s="97"/>
      <c r="F196" s="84"/>
      <c r="G196" s="90"/>
    </row>
    <row r="197" spans="2:7" ht="20.100000000000001" customHeight="1" x14ac:dyDescent="0.2">
      <c r="B197" s="11"/>
      <c r="C197" s="90"/>
      <c r="D197" s="92"/>
      <c r="E197" s="97"/>
      <c r="F197" s="90"/>
      <c r="G197" s="90"/>
    </row>
    <row r="198" spans="2:7" ht="20.100000000000001" customHeight="1" x14ac:dyDescent="0.25">
      <c r="B198" s="11"/>
      <c r="C198" s="96" t="s">
        <v>18</v>
      </c>
      <c r="D198" s="85"/>
      <c r="E198" s="97"/>
      <c r="F198" s="85"/>
      <c r="G198" s="90"/>
    </row>
    <row r="199" spans="2:7" ht="20.100000000000001" customHeight="1" x14ac:dyDescent="0.2">
      <c r="E199" s="97"/>
    </row>
    <row r="200" spans="2:7" ht="20.100000000000001" customHeight="1" x14ac:dyDescent="0.2">
      <c r="E200" s="97"/>
    </row>
    <row r="201" spans="2:7" ht="20.100000000000001" customHeight="1" x14ac:dyDescent="0.2">
      <c r="E201" s="97"/>
    </row>
    <row r="202" spans="2:7" ht="20.100000000000001" customHeight="1" x14ac:dyDescent="0.2">
      <c r="E202" s="97"/>
    </row>
    <row r="203" spans="2:7" ht="20.100000000000001" customHeight="1" x14ac:dyDescent="0.2">
      <c r="E203" s="97"/>
    </row>
    <row r="204" spans="2:7" ht="20.100000000000001" customHeight="1" x14ac:dyDescent="0.2">
      <c r="E204" s="97"/>
    </row>
    <row r="205" spans="2:7" ht="20.100000000000001" customHeight="1" x14ac:dyDescent="0.2">
      <c r="E205" s="97"/>
    </row>
    <row r="206" spans="2:7" ht="20.100000000000001" customHeight="1" x14ac:dyDescent="0.2">
      <c r="E206" s="97"/>
    </row>
    <row r="207" spans="2:7" ht="20.100000000000001" customHeight="1" x14ac:dyDescent="0.2">
      <c r="E207" s="97"/>
    </row>
    <row r="208" spans="2:7" ht="20.100000000000001" customHeight="1" x14ac:dyDescent="0.2">
      <c r="E208" s="97"/>
    </row>
    <row r="209" spans="5:5" ht="20.100000000000001" customHeight="1" x14ac:dyDescent="0.2">
      <c r="E209" s="97"/>
    </row>
    <row r="210" spans="5:5" ht="20.100000000000001" customHeight="1" x14ac:dyDescent="0.2">
      <c r="E210" s="97"/>
    </row>
    <row r="211" spans="5:5" ht="20.100000000000001" customHeight="1" x14ac:dyDescent="0.2">
      <c r="E211" s="97"/>
    </row>
    <row r="212" spans="5:5" ht="20.100000000000001" customHeight="1" x14ac:dyDescent="0.2">
      <c r="E212" s="97"/>
    </row>
    <row r="213" spans="5:5" ht="20.100000000000001" customHeight="1" x14ac:dyDescent="0.2">
      <c r="E213" s="97"/>
    </row>
    <row r="214" spans="5:5" ht="20.100000000000001" customHeight="1" x14ac:dyDescent="0.2">
      <c r="E214" s="97"/>
    </row>
    <row r="215" spans="5:5" ht="20.100000000000001" customHeight="1" x14ac:dyDescent="0.2">
      <c r="E215" s="97"/>
    </row>
    <row r="216" spans="5:5" ht="20.100000000000001" customHeight="1" x14ac:dyDescent="0.2">
      <c r="E216" s="97"/>
    </row>
    <row r="217" spans="5:5" ht="20.100000000000001" customHeight="1" x14ac:dyDescent="0.2">
      <c r="E217" s="97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B130:C130"/>
    <mergeCell ref="A11:B11"/>
    <mergeCell ref="M5:N6"/>
    <mergeCell ref="D2:E2"/>
    <mergeCell ref="C4:C5"/>
    <mergeCell ref="C2:C3"/>
  </mergeCell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xWindow="336" yWindow="482" count="1">
        <x14:dataValidation type="list" allowBlank="1" showErrorMessage="1" errorTitle="EQUIVOCACION" error="Debe seleccionar un registro de la lista" promptTitle="Clientes Ortomax" prompt="Lista de Clientes de Ortomax">
          <x14:formula1>
            <xm:f>Hoja2!$A$2:$A$32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"/>
  <sheetViews>
    <sheetView workbookViewId="0">
      <selection activeCell="F5" sqref="F5"/>
    </sheetView>
  </sheetViews>
  <sheetFormatPr baseColWidth="10" defaultRowHeight="15" x14ac:dyDescent="0.25"/>
  <sheetData>
    <row r="1" spans="1:8" x14ac:dyDescent="0.25">
      <c r="A1" t="s">
        <v>83</v>
      </c>
      <c r="B1" s="37" t="s">
        <v>82</v>
      </c>
      <c r="C1" s="1"/>
      <c r="D1" s="1"/>
      <c r="E1" s="1"/>
      <c r="F1" s="1"/>
      <c r="G1" s="1"/>
      <c r="H1" s="1"/>
    </row>
    <row r="2" spans="1:8" x14ac:dyDescent="0.25">
      <c r="B2" s="1"/>
      <c r="C2" s="1"/>
      <c r="D2" s="1"/>
      <c r="E2" s="1"/>
      <c r="F2" s="1"/>
      <c r="G2" s="1"/>
      <c r="H2" s="1"/>
    </row>
    <row r="3" spans="1:8" x14ac:dyDescent="0.25">
      <c r="B3" s="1"/>
      <c r="C3" s="1"/>
      <c r="D3" s="1"/>
      <c r="E3" s="1"/>
      <c r="F3" s="1"/>
      <c r="G3" s="1"/>
      <c r="H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32"/>
  <sheetViews>
    <sheetView workbookViewId="0">
      <selection activeCell="A11" sqref="A2:A11"/>
    </sheetView>
  </sheetViews>
  <sheetFormatPr baseColWidth="10" defaultRowHeight="15" x14ac:dyDescent="0.25"/>
  <cols>
    <col min="1" max="1" width="48.85546875" style="1" bestFit="1" customWidth="1"/>
    <col min="2" max="2" width="14" bestFit="1" customWidth="1"/>
    <col min="3" max="3" width="59.140625" bestFit="1" customWidth="1"/>
    <col min="4" max="4" width="48.85546875" bestFit="1" customWidth="1"/>
    <col min="5" max="5" width="97.140625" bestFit="1" customWidth="1"/>
  </cols>
  <sheetData>
    <row r="1" spans="1:5" ht="15.75" x14ac:dyDescent="0.25">
      <c r="A1" s="112" t="s">
        <v>250</v>
      </c>
      <c r="B1" s="108" t="s">
        <v>248</v>
      </c>
      <c r="C1" s="108" t="s">
        <v>249</v>
      </c>
      <c r="D1" s="108" t="s">
        <v>250</v>
      </c>
      <c r="E1" s="103" t="s">
        <v>331</v>
      </c>
    </row>
    <row r="2" spans="1:5" ht="15.75" x14ac:dyDescent="0.25">
      <c r="A2" s="112" t="s">
        <v>306</v>
      </c>
      <c r="B2" s="108" t="s">
        <v>305</v>
      </c>
      <c r="C2" s="108" t="s">
        <v>306</v>
      </c>
      <c r="D2" s="108" t="s">
        <v>306</v>
      </c>
      <c r="E2" s="106" t="s">
        <v>359</v>
      </c>
    </row>
    <row r="3" spans="1:5" ht="15.75" x14ac:dyDescent="0.25">
      <c r="A3" s="112" t="s">
        <v>311</v>
      </c>
      <c r="B3" s="108" t="s">
        <v>310</v>
      </c>
      <c r="C3" s="108" t="s">
        <v>311</v>
      </c>
      <c r="D3" s="108" t="s">
        <v>311</v>
      </c>
      <c r="E3" s="107" t="s">
        <v>360</v>
      </c>
    </row>
    <row r="4" spans="1:5" ht="15.75" x14ac:dyDescent="0.25">
      <c r="A4" s="112" t="s">
        <v>265</v>
      </c>
      <c r="B4" s="108" t="s">
        <v>263</v>
      </c>
      <c r="C4" s="108" t="s">
        <v>264</v>
      </c>
      <c r="D4" s="108" t="s">
        <v>265</v>
      </c>
      <c r="E4" s="104" t="s">
        <v>336</v>
      </c>
    </row>
    <row r="5" spans="1:5" ht="15.75" x14ac:dyDescent="0.25">
      <c r="A5" s="112" t="s">
        <v>262</v>
      </c>
      <c r="B5" s="108" t="s">
        <v>260</v>
      </c>
      <c r="C5" s="108" t="s">
        <v>261</v>
      </c>
      <c r="D5" s="108" t="s">
        <v>262</v>
      </c>
      <c r="E5" s="104" t="s">
        <v>335</v>
      </c>
    </row>
    <row r="6" spans="1:5" ht="15.75" x14ac:dyDescent="0.25">
      <c r="A6" s="112" t="s">
        <v>259</v>
      </c>
      <c r="B6" s="108" t="s">
        <v>257</v>
      </c>
      <c r="C6" s="108" t="s">
        <v>258</v>
      </c>
      <c r="D6" s="108" t="s">
        <v>259</v>
      </c>
      <c r="E6" s="104" t="s">
        <v>334</v>
      </c>
    </row>
    <row r="7" spans="1:5" ht="15.75" x14ac:dyDescent="0.25">
      <c r="A7" s="112" t="s">
        <v>276</v>
      </c>
      <c r="B7" s="108" t="s">
        <v>274</v>
      </c>
      <c r="C7" s="108" t="s">
        <v>275</v>
      </c>
      <c r="D7" s="108" t="s">
        <v>276</v>
      </c>
      <c r="E7" s="104" t="s">
        <v>340</v>
      </c>
    </row>
    <row r="8" spans="1:5" ht="15.75" x14ac:dyDescent="0.25">
      <c r="A8" s="112" t="s">
        <v>298</v>
      </c>
      <c r="B8" s="108" t="s">
        <v>296</v>
      </c>
      <c r="C8" s="108" t="s">
        <v>297</v>
      </c>
      <c r="D8" s="108" t="s">
        <v>298</v>
      </c>
      <c r="E8" s="104" t="s">
        <v>348</v>
      </c>
    </row>
    <row r="9" spans="1:5" ht="15.75" x14ac:dyDescent="0.25">
      <c r="A9" s="112" t="s">
        <v>314</v>
      </c>
      <c r="B9" s="108" t="s">
        <v>312</v>
      </c>
      <c r="C9" s="108" t="s">
        <v>313</v>
      </c>
      <c r="D9" s="108" t="s">
        <v>314</v>
      </c>
      <c r="E9" s="105" t="s">
        <v>354</v>
      </c>
    </row>
    <row r="10" spans="1:5" ht="15.75" x14ac:dyDescent="0.25">
      <c r="A10" s="112" t="s">
        <v>282</v>
      </c>
      <c r="B10" s="108" t="s">
        <v>280</v>
      </c>
      <c r="C10" s="108" t="s">
        <v>281</v>
      </c>
      <c r="D10" s="108" t="s">
        <v>282</v>
      </c>
      <c r="E10" s="104" t="s">
        <v>342</v>
      </c>
    </row>
    <row r="11" spans="1:5" ht="15.75" x14ac:dyDescent="0.25">
      <c r="A11" s="112" t="s">
        <v>253</v>
      </c>
      <c r="B11" s="108" t="s">
        <v>251</v>
      </c>
      <c r="C11" s="108" t="s">
        <v>252</v>
      </c>
      <c r="D11" s="108" t="s">
        <v>253</v>
      </c>
      <c r="E11" s="104" t="s">
        <v>332</v>
      </c>
    </row>
    <row r="12" spans="1:5" ht="15.75" x14ac:dyDescent="0.25">
      <c r="A12" s="112" t="s">
        <v>317</v>
      </c>
      <c r="B12" s="108" t="s">
        <v>315</v>
      </c>
      <c r="C12" s="108" t="s">
        <v>316</v>
      </c>
      <c r="D12" s="108" t="s">
        <v>317</v>
      </c>
      <c r="E12" s="106" t="s">
        <v>355</v>
      </c>
    </row>
    <row r="13" spans="1:5" ht="15.75" x14ac:dyDescent="0.25">
      <c r="A13" s="112" t="s">
        <v>301</v>
      </c>
      <c r="B13" s="108" t="s">
        <v>299</v>
      </c>
      <c r="C13" s="108" t="s">
        <v>300</v>
      </c>
      <c r="D13" s="108" t="s">
        <v>301</v>
      </c>
      <c r="E13" s="104" t="s">
        <v>349</v>
      </c>
    </row>
    <row r="14" spans="1:5" ht="15.75" x14ac:dyDescent="0.25">
      <c r="A14" s="112" t="s">
        <v>302</v>
      </c>
      <c r="B14" s="108" t="s">
        <v>299</v>
      </c>
      <c r="C14" s="108" t="s">
        <v>300</v>
      </c>
      <c r="D14" s="108" t="s">
        <v>302</v>
      </c>
      <c r="E14" s="104" t="s">
        <v>350</v>
      </c>
    </row>
    <row r="15" spans="1:5" ht="15.75" x14ac:dyDescent="0.25">
      <c r="A15" s="112" t="s">
        <v>291</v>
      </c>
      <c r="B15" s="108" t="s">
        <v>289</v>
      </c>
      <c r="C15" s="108" t="s">
        <v>290</v>
      </c>
      <c r="D15" s="108" t="s">
        <v>291</v>
      </c>
      <c r="E15" s="104" t="s">
        <v>345</v>
      </c>
    </row>
    <row r="16" spans="1:5" ht="15.75" x14ac:dyDescent="0.25">
      <c r="A16" s="112" t="s">
        <v>267</v>
      </c>
      <c r="B16" s="108" t="s">
        <v>266</v>
      </c>
      <c r="C16" s="108" t="s">
        <v>267</v>
      </c>
      <c r="D16" s="108" t="s">
        <v>267</v>
      </c>
      <c r="E16" s="104" t="s">
        <v>337</v>
      </c>
    </row>
    <row r="17" spans="1:5" ht="15.75" x14ac:dyDescent="0.25">
      <c r="A17" s="112" t="s">
        <v>320</v>
      </c>
      <c r="B17" s="108" t="s">
        <v>318</v>
      </c>
      <c r="C17" s="108" t="s">
        <v>319</v>
      </c>
      <c r="D17" s="108" t="s">
        <v>320</v>
      </c>
      <c r="E17" s="106" t="s">
        <v>356</v>
      </c>
    </row>
    <row r="18" spans="1:5" ht="15.75" x14ac:dyDescent="0.25">
      <c r="A18" s="112" t="s">
        <v>324</v>
      </c>
      <c r="B18" s="108" t="s">
        <v>310</v>
      </c>
      <c r="C18" s="108" t="s">
        <v>324</v>
      </c>
      <c r="D18" s="108" t="s">
        <v>324</v>
      </c>
      <c r="E18" s="107" t="s">
        <v>353</v>
      </c>
    </row>
    <row r="19" spans="1:5" ht="15.75" x14ac:dyDescent="0.25">
      <c r="A19" s="112" t="s">
        <v>256</v>
      </c>
      <c r="B19" s="108" t="s">
        <v>254</v>
      </c>
      <c r="C19" s="108" t="s">
        <v>255</v>
      </c>
      <c r="D19" s="108" t="s">
        <v>256</v>
      </c>
      <c r="E19" s="104" t="s">
        <v>333</v>
      </c>
    </row>
    <row r="20" spans="1:5" ht="15.75" x14ac:dyDescent="0.25">
      <c r="A20" s="112" t="s">
        <v>323</v>
      </c>
      <c r="B20" s="108" t="s">
        <v>321</v>
      </c>
      <c r="C20" s="108" t="s">
        <v>322</v>
      </c>
      <c r="D20" s="108" t="s">
        <v>323</v>
      </c>
      <c r="E20" s="106" t="s">
        <v>357</v>
      </c>
    </row>
    <row r="21" spans="1:5" ht="15.75" x14ac:dyDescent="0.25">
      <c r="A21" s="112" t="s">
        <v>28</v>
      </c>
      <c r="B21" s="108" t="s">
        <v>303</v>
      </c>
      <c r="C21" s="108" t="s">
        <v>304</v>
      </c>
      <c r="D21" s="108" t="s">
        <v>28</v>
      </c>
      <c r="E21" s="104" t="s">
        <v>351</v>
      </c>
    </row>
    <row r="22" spans="1:5" ht="15.75" x14ac:dyDescent="0.25">
      <c r="A22" s="112" t="s">
        <v>270</v>
      </c>
      <c r="B22" s="108" t="s">
        <v>268</v>
      </c>
      <c r="C22" s="108" t="s">
        <v>269</v>
      </c>
      <c r="D22" s="108" t="s">
        <v>270</v>
      </c>
      <c r="E22" s="104" t="s">
        <v>338</v>
      </c>
    </row>
    <row r="23" spans="1:5" ht="15.75" x14ac:dyDescent="0.25">
      <c r="A23" s="112" t="s">
        <v>273</v>
      </c>
      <c r="B23" s="108" t="s">
        <v>271</v>
      </c>
      <c r="C23" s="108" t="s">
        <v>272</v>
      </c>
      <c r="D23" s="108" t="s">
        <v>273</v>
      </c>
      <c r="E23" s="104" t="s">
        <v>339</v>
      </c>
    </row>
    <row r="24" spans="1:5" ht="15.75" x14ac:dyDescent="0.25">
      <c r="A24" s="112" t="s">
        <v>327</v>
      </c>
      <c r="B24" s="108" t="s">
        <v>310</v>
      </c>
      <c r="C24" s="108" t="s">
        <v>327</v>
      </c>
      <c r="D24" s="108" t="s">
        <v>327</v>
      </c>
      <c r="E24" s="107" t="s">
        <v>353</v>
      </c>
    </row>
    <row r="25" spans="1:5" ht="15.75" x14ac:dyDescent="0.25">
      <c r="A25" s="112" t="s">
        <v>326</v>
      </c>
      <c r="B25" s="108" t="s">
        <v>325</v>
      </c>
      <c r="C25" s="108" t="s">
        <v>326</v>
      </c>
      <c r="D25" s="108" t="s">
        <v>326</v>
      </c>
      <c r="E25" s="106" t="s">
        <v>358</v>
      </c>
    </row>
    <row r="26" spans="1:5" ht="15.75" x14ac:dyDescent="0.25">
      <c r="A26" s="112" t="s">
        <v>288</v>
      </c>
      <c r="B26" s="108" t="s">
        <v>286</v>
      </c>
      <c r="C26" s="108" t="s">
        <v>287</v>
      </c>
      <c r="D26" s="108" t="s">
        <v>288</v>
      </c>
      <c r="E26" s="104" t="s">
        <v>344</v>
      </c>
    </row>
    <row r="27" spans="1:5" ht="15.75" x14ac:dyDescent="0.25">
      <c r="A27" s="112" t="s">
        <v>285</v>
      </c>
      <c r="B27" s="108" t="s">
        <v>283</v>
      </c>
      <c r="C27" s="108" t="s">
        <v>284</v>
      </c>
      <c r="D27" s="108" t="s">
        <v>285</v>
      </c>
      <c r="E27" s="104" t="s">
        <v>343</v>
      </c>
    </row>
    <row r="28" spans="1:5" ht="15.75" x14ac:dyDescent="0.25">
      <c r="A28" s="112" t="s">
        <v>279</v>
      </c>
      <c r="B28" s="108" t="s">
        <v>277</v>
      </c>
      <c r="C28" s="108" t="s">
        <v>278</v>
      </c>
      <c r="D28" s="108" t="s">
        <v>279</v>
      </c>
      <c r="E28" s="104" t="s">
        <v>341</v>
      </c>
    </row>
    <row r="29" spans="1:5" ht="15.75" x14ac:dyDescent="0.25">
      <c r="A29" s="112" t="s">
        <v>330</v>
      </c>
      <c r="B29" s="108" t="s">
        <v>328</v>
      </c>
      <c r="C29" s="108" t="s">
        <v>329</v>
      </c>
      <c r="D29" s="108" t="s">
        <v>330</v>
      </c>
      <c r="E29" s="107" t="s">
        <v>353</v>
      </c>
    </row>
    <row r="30" spans="1:5" ht="15.75" x14ac:dyDescent="0.25">
      <c r="A30" s="112" t="s">
        <v>293</v>
      </c>
      <c r="B30" s="108" t="s">
        <v>292</v>
      </c>
      <c r="C30" s="108" t="s">
        <v>293</v>
      </c>
      <c r="D30" s="108" t="s">
        <v>293</v>
      </c>
      <c r="E30" s="104" t="s">
        <v>346</v>
      </c>
    </row>
    <row r="31" spans="1:5" ht="15.75" x14ac:dyDescent="0.25">
      <c r="A31" s="112" t="s">
        <v>295</v>
      </c>
      <c r="B31" s="108" t="s">
        <v>294</v>
      </c>
      <c r="C31" s="108" t="s">
        <v>295</v>
      </c>
      <c r="D31" s="108" t="s">
        <v>295</v>
      </c>
      <c r="E31" s="104" t="s">
        <v>347</v>
      </c>
    </row>
    <row r="32" spans="1:5" ht="15.75" x14ac:dyDescent="0.25">
      <c r="A32" s="112" t="s">
        <v>309</v>
      </c>
      <c r="B32" s="108" t="s">
        <v>307</v>
      </c>
      <c r="C32" s="108" t="s">
        <v>308</v>
      </c>
      <c r="D32" s="108" t="s">
        <v>309</v>
      </c>
      <c r="E32" s="107" t="s">
        <v>352</v>
      </c>
    </row>
  </sheetData>
  <sortState ref="A2:E32">
    <sortCondition ref="A2:A32"/>
  </sortState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Hoja5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Usuario Principal</cp:lastModifiedBy>
  <cp:lastPrinted>2023-04-25T15:38:16Z</cp:lastPrinted>
  <dcterms:created xsi:type="dcterms:W3CDTF">2023-01-26T13:28:36Z</dcterms:created>
  <dcterms:modified xsi:type="dcterms:W3CDTF">2024-01-16T19:40:50Z</dcterms:modified>
</cp:coreProperties>
</file>