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MODELO_NOTAS\"/>
    </mc:Choice>
  </mc:AlternateContent>
  <bookViews>
    <workbookView xWindow="0" yWindow="0" windowWidth="20490" windowHeight="7650"/>
  </bookViews>
  <sheets>
    <sheet name="Hoja1" sheetId="1" r:id="rId1"/>
  </sheets>
  <definedNames>
    <definedName name="Z_3342B702_8207_4EA1_8384_FAFEA840CE2A_.wvu.PrintArea" localSheetId="0" hidden="1">Hoja1!$A$2:$E$229</definedName>
  </definedNames>
  <calcPr calcId="162913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E4" i="1"/>
  <c r="B210" i="1" l="1"/>
  <c r="D146" i="1"/>
  <c r="D130" i="1"/>
  <c r="D114" i="1"/>
  <c r="D98" i="1"/>
  <c r="D71" i="1"/>
  <c r="B185" i="1" l="1"/>
  <c r="B173" i="1"/>
  <c r="D44" i="1" l="1"/>
  <c r="D33" i="1"/>
  <c r="C7" i="1" l="1"/>
</calcChain>
</file>

<file path=xl/comments1.xml><?xml version="1.0" encoding="utf-8"?>
<comments xmlns="http://schemas.openxmlformats.org/spreadsheetml/2006/main">
  <authors>
    <author>Asus</author>
  </authors>
  <commentList>
    <comment ref="E7" authorId="0" shapeId="0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<sst xmlns="http://schemas.openxmlformats.org/spreadsheetml/2006/main" count="377" uniqueCount="349">
  <si>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</si>
  <si>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</si>
  <si>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</si>
  <si>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</si>
  <si>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</si>
  <si>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</si>
  <si>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</si>
  <si>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</si>
  <si>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</si>
  <si>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</si>
  <si>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</si>
  <si>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</si>
  <si>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</si>
  <si>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</si>
  <si>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</si>
  <si>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</si>
  <si>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</si>
  <si>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INSTRUMENTADOR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</si>
  <si>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</si>
  <si>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</si>
  <si>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</si>
  <si>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</si>
  <si>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</si>
  <si>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</si>
  <si>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</si>
  <si>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</si>
  <si>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</si>
  <si>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</si>
  <si>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</si>
  <si>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BANDEJA SUPERIOR</t>
  </si>
  <si>
    <t>MEDIDOR DE PROFUNDIDAD</t>
  </si>
  <si>
    <t>GUBIA</t>
  </si>
  <si>
    <t>INQ</t>
  </si>
  <si>
    <t>CANTIDAD</t>
  </si>
  <si>
    <t>DESCRIPCION</t>
  </si>
  <si>
    <t>SEPARADORES BENNET</t>
  </si>
  <si>
    <t>SEPARADORES HOMMAN MEDIANOS</t>
  </si>
  <si>
    <t>OSTEOTOMO</t>
  </si>
  <si>
    <t>CURETA</t>
  </si>
  <si>
    <t>PINZAS REDUCTORAS CANGREJO ARANDELA</t>
  </si>
  <si>
    <t>PINZAVERBRUGUER ARANDELA</t>
  </si>
  <si>
    <t>MARTILLO</t>
  </si>
  <si>
    <t>MANGO TORQUE NEGRO</t>
  </si>
  <si>
    <t>ATORNILLADOR 4.5</t>
  </si>
  <si>
    <t>SF-635.005R</t>
  </si>
  <si>
    <t>PLACA BLOQ. FEMUR DISTAL 4.5/5.0mm*5 ORIF. DER ACERO</t>
  </si>
  <si>
    <t>SF-635.006R</t>
  </si>
  <si>
    <t>PLACA BLOQ. FEMUR DISTAL 4.5/5.0mm*6 ORIF. DER ACERO</t>
  </si>
  <si>
    <t>SF-635.007R</t>
  </si>
  <si>
    <t>PLACA BLOQ. FEMUR DISTAL 4.5/5.0mm*7 ORIF. DER ACERO</t>
  </si>
  <si>
    <t>PLACA BLOQ. FEMUR DISTAL 4.5/5.0mm*8 ORIF. DER ACERO</t>
  </si>
  <si>
    <t>SF-635.009R</t>
  </si>
  <si>
    <t>PLACA BLOQ. FEMUR DISTAL 4.5/5.0mm*9 ORIF. DER ACERO</t>
  </si>
  <si>
    <t>SF-635.010R</t>
  </si>
  <si>
    <t>PLACA BLOQ. FEMUR DISTAL 4.5/5.0mm*10 ORIF. DER ACERO</t>
  </si>
  <si>
    <t>SF-635.011R</t>
  </si>
  <si>
    <t>PLACA BLOQ. FEMUR DISTAL 4.5/5.0mm*11 ORIF. DER ACERO</t>
  </si>
  <si>
    <t>SF-635.012R</t>
  </si>
  <si>
    <t>PLACA BLOQ. FEMUR DISTAL 4.5/5.0mm*12 ORIF. DER ACERO</t>
  </si>
  <si>
    <t>SF-635.013R</t>
  </si>
  <si>
    <t>PLACA BLOQ. FEMUR DISTAL 4.5/5.0mm*13 ORIF. DER ACERO</t>
  </si>
  <si>
    <t>SF-635.005L</t>
  </si>
  <si>
    <t>PLACA BLOQ. FEMUR DISTAL 4.5/5.0mm*5 ORIF. IZQ ACERO</t>
  </si>
  <si>
    <t>SF-635.006L</t>
  </si>
  <si>
    <t>PLACA BLOQ. FEMUR DISTAL 4.5/5.0mm*6 ORIF. IZQ ACERO</t>
  </si>
  <si>
    <t>SF-635.007L</t>
  </si>
  <si>
    <t>PLACA BLOQ. FEMUR DISTAL 4.5/5.0mm*7 ORIF. IZQ ACERO</t>
  </si>
  <si>
    <t>SF-635.008L</t>
  </si>
  <si>
    <t>PLACA BLOQ. FEMUR DISTAL 4.5/5.0mm*8 ORIF. IZQ ACERO</t>
  </si>
  <si>
    <t>SF-635.009L</t>
  </si>
  <si>
    <t>PLACA BLOQ. FEMUR DISTAL 4.5/5.0mm*9 ORIF. IZQ ACERO</t>
  </si>
  <si>
    <t>SF-635.010L</t>
  </si>
  <si>
    <t>PLACA BLOQ. FEMUR DISTAL 4.5/5.0mm*10 ORIF. IZQ ACERO</t>
  </si>
  <si>
    <t>SF-635.011L</t>
  </si>
  <si>
    <t>PLACA BLOQ. FEMUR DISTAL 4.5/5.0mm*11 ORIF. IZQ ACERO</t>
  </si>
  <si>
    <t>SF-635.012L</t>
  </si>
  <si>
    <t>PLACA BLOQ. FEMUR DISTAL 4.5/5.0mm*12 ORIF. IZQ ACERO</t>
  </si>
  <si>
    <t>SF-635.013L</t>
  </si>
  <si>
    <t>PLACA BLOQ. FEMUR DISTAL 4.5/5.0mm*13 ORIF. IZQ ACERO</t>
  </si>
  <si>
    <t>SF-635.015L</t>
  </si>
  <si>
    <t>PLACA BLOQ. FEMUR DISTAL 4.5/5.0mm*15 ORIF. IZQ ACERO</t>
  </si>
  <si>
    <t>12MD</t>
  </si>
  <si>
    <t>INSTRUMENTAL SET 4.5/6.5 # 1</t>
  </si>
  <si>
    <t xml:space="preserve">ATORNILLADOR DE 4.5MM CON CAMISA </t>
  </si>
  <si>
    <t xml:space="preserve">BROCAS DE 4.3MM </t>
  </si>
  <si>
    <t xml:space="preserve">BROCA DE 3.5MM </t>
  </si>
  <si>
    <t>CLAVIJA KIRSCHNER 2.5*250 MM ACERO</t>
  </si>
  <si>
    <t>TARRAJA 6.5MM</t>
  </si>
  <si>
    <t xml:space="preserve">GUIA DE BROCA DE 3.2/4.5MM </t>
  </si>
  <si>
    <t xml:space="preserve">GUIA DE BROCA DE 3.2/6.5MM </t>
  </si>
  <si>
    <t xml:space="preserve">ANCLAJE DE 4,5MM HEXAGONAL </t>
  </si>
  <si>
    <t xml:space="preserve">ANCLAJE DE 4,5MM STAR DRIVE </t>
  </si>
  <si>
    <t xml:space="preserve">EXTRACTOR HEXAGONAL ANCLAJE RAPIDO  </t>
  </si>
  <si>
    <t xml:space="preserve">TREFINA ( ESCAREADOR PARA  HUESO) ANCLAJE RAPIDO </t>
  </si>
  <si>
    <t>TARRAJA 4.5MM</t>
  </si>
  <si>
    <t xml:space="preserve">BROCAS DE 3.2MM </t>
  </si>
  <si>
    <t xml:space="preserve">BROCAS DE 4.5MM </t>
  </si>
  <si>
    <t xml:space="preserve">MANGO EN T DE ANCLAJE RAPIDO </t>
  </si>
  <si>
    <t>GUIAS DE BLOQUEO 2.5</t>
  </si>
  <si>
    <t xml:space="preserve">PINZA SUJETADORA DE TORNILLOS </t>
  </si>
  <si>
    <t>GUIAS DE BLOQUEO 4.3</t>
  </si>
  <si>
    <t>GUIA CENTRICA/EXCENTRICA</t>
  </si>
  <si>
    <t xml:space="preserve">BANDEJA INFERIOR </t>
  </si>
  <si>
    <t>TORQUE 4.0N.m CON CAMISA</t>
  </si>
  <si>
    <t xml:space="preserve">DOBLADORAS DE PLACA </t>
  </si>
  <si>
    <t xml:space="preserve">ELEVADOR DE PERIOSTIO CURVO </t>
  </si>
  <si>
    <t xml:space="preserve">ELEVADOR DE PERIOSTIO RECTO </t>
  </si>
  <si>
    <t xml:space="preserve">SEPARADORES DE HOMAN </t>
  </si>
  <si>
    <t xml:space="preserve">PINZA DE REDUCCION VERBRUGGE </t>
  </si>
  <si>
    <t>PINZA DE PUNTAS CON CREMALLERA</t>
  </si>
  <si>
    <t>MANGO AZUL ANCLAJE RAPIDO</t>
  </si>
  <si>
    <t>ANCLAJE RAPIDO STARDRIVE CON CAMISA</t>
  </si>
  <si>
    <t>106.222</t>
  </si>
  <si>
    <t>106.224</t>
  </si>
  <si>
    <t>106.226</t>
  </si>
  <si>
    <t>106.228</t>
  </si>
  <si>
    <t>106.230</t>
  </si>
  <si>
    <t>106.232</t>
  </si>
  <si>
    <t>106.234</t>
  </si>
  <si>
    <t>106.236</t>
  </si>
  <si>
    <t>106.238</t>
  </si>
  <si>
    <t>106.240</t>
  </si>
  <si>
    <t>106.242</t>
  </si>
  <si>
    <t>106.244</t>
  </si>
  <si>
    <t>106.246</t>
  </si>
  <si>
    <t>106.248</t>
  </si>
  <si>
    <t>106.250</t>
  </si>
  <si>
    <t>106.252</t>
  </si>
  <si>
    <t>106.254</t>
  </si>
  <si>
    <t>106.256</t>
  </si>
  <si>
    <t>106.258</t>
  </si>
  <si>
    <t>106.260</t>
  </si>
  <si>
    <t>106.265</t>
  </si>
  <si>
    <t>106.270</t>
  </si>
  <si>
    <t>106.275</t>
  </si>
  <si>
    <t>106.280</t>
  </si>
  <si>
    <t>106.285</t>
  </si>
  <si>
    <t>106.290</t>
  </si>
  <si>
    <t>SF-500.022</t>
  </si>
  <si>
    <t>200215323</t>
  </si>
  <si>
    <t>190602956</t>
  </si>
  <si>
    <t>SF-500.026</t>
  </si>
  <si>
    <t>190602957</t>
  </si>
  <si>
    <t>SF-500.028</t>
  </si>
  <si>
    <t>SF-500.030</t>
  </si>
  <si>
    <t>210733778</t>
  </si>
  <si>
    <t>SF-500.032</t>
  </si>
  <si>
    <t>190906305</t>
  </si>
  <si>
    <t>SF-500.034</t>
  </si>
  <si>
    <t>190906307</t>
  </si>
  <si>
    <t>SF-500.036</t>
  </si>
  <si>
    <t>190906309</t>
  </si>
  <si>
    <t>SF-500.038</t>
  </si>
  <si>
    <t>190906311</t>
  </si>
  <si>
    <t>SF-500.040</t>
  </si>
  <si>
    <t>SF-500.042</t>
  </si>
  <si>
    <t>SF-500.044</t>
  </si>
  <si>
    <t>SF-500.046</t>
  </si>
  <si>
    <t>SF-500.048</t>
  </si>
  <si>
    <t>190906301</t>
  </si>
  <si>
    <t>SF-500.050</t>
  </si>
  <si>
    <t>200112093</t>
  </si>
  <si>
    <t>SF-500.052</t>
  </si>
  <si>
    <t>SF-500.054</t>
  </si>
  <si>
    <t>SF-500.056</t>
  </si>
  <si>
    <t>SF-500.058</t>
  </si>
  <si>
    <t>190906333</t>
  </si>
  <si>
    <t>SF-500.060</t>
  </si>
  <si>
    <t>SF-500.065</t>
  </si>
  <si>
    <t>SF-500.070</t>
  </si>
  <si>
    <t>SF-500.075</t>
  </si>
  <si>
    <t>SF-500.080</t>
  </si>
  <si>
    <t>SF-500.085</t>
  </si>
  <si>
    <t>SF-500.090</t>
  </si>
  <si>
    <t>108.030</t>
  </si>
  <si>
    <t>108.035</t>
  </si>
  <si>
    <t>108.040</t>
  </si>
  <si>
    <t>108.045</t>
  </si>
  <si>
    <t>108.050</t>
  </si>
  <si>
    <t>108.055</t>
  </si>
  <si>
    <t>108.060</t>
  </si>
  <si>
    <t>108.065</t>
  </si>
  <si>
    <t>108.070</t>
  </si>
  <si>
    <t>108.075</t>
  </si>
  <si>
    <t>108.080</t>
  </si>
  <si>
    <t>108.085</t>
  </si>
  <si>
    <t>108.090</t>
  </si>
  <si>
    <t>108.095</t>
  </si>
  <si>
    <t>108.100</t>
  </si>
  <si>
    <t>109.040</t>
  </si>
  <si>
    <t>109.045</t>
  </si>
  <si>
    <t>109.050</t>
  </si>
  <si>
    <t>109.055</t>
  </si>
  <si>
    <t>109.060</t>
  </si>
  <si>
    <t>109.065</t>
  </si>
  <si>
    <t>109.070</t>
  </si>
  <si>
    <t>109.075</t>
  </si>
  <si>
    <t>109.080</t>
  </si>
  <si>
    <t>109.085</t>
  </si>
  <si>
    <t>109.090</t>
  </si>
  <si>
    <t>109.095</t>
  </si>
  <si>
    <t>109.100</t>
  </si>
  <si>
    <t>109.105</t>
  </si>
  <si>
    <t>109.110</t>
  </si>
  <si>
    <t>110.030</t>
  </si>
  <si>
    <t>110.035</t>
  </si>
  <si>
    <t>110.040</t>
  </si>
  <si>
    <t>110.045</t>
  </si>
  <si>
    <t>110.050</t>
  </si>
  <si>
    <t>110.055</t>
  </si>
  <si>
    <t>110.060</t>
  </si>
  <si>
    <t>110.065</t>
  </si>
  <si>
    <t>110.070</t>
  </si>
  <si>
    <t>110.075</t>
  </si>
  <si>
    <t>110.080</t>
  </si>
  <si>
    <t>110.085</t>
  </si>
  <si>
    <t>110.090</t>
  </si>
  <si>
    <t>110.095</t>
  </si>
  <si>
    <t>110.100</t>
  </si>
  <si>
    <t>115.020</t>
  </si>
  <si>
    <t>INSTRUMENTAL BASICO 4.5  # 3</t>
  </si>
  <si>
    <t>SEPARADORES HOMMAN FINOS LARGOS</t>
  </si>
  <si>
    <t>SEPARADORES DE HIBS</t>
  </si>
  <si>
    <t xml:space="preserve">DISECTOR DE COOB </t>
  </si>
  <si>
    <t xml:space="preserve">PINZA EN PUNTA GRANDE </t>
  </si>
  <si>
    <t>PASADOR DE ALAMBRE</t>
  </si>
  <si>
    <t>DOBLADORAS DE PLACA</t>
  </si>
  <si>
    <t>PINZAS REDUCTORAS CLAN DE LAYNE</t>
  </si>
  <si>
    <t>LOWMAN</t>
  </si>
  <si>
    <t xml:space="preserve">LLAVE JACOBS </t>
  </si>
  <si>
    <t>MOTOR NEGRO # 2</t>
  </si>
  <si>
    <t>BATERIAS GRIS # 5Y # 6</t>
  </si>
  <si>
    <t>210228500</t>
  </si>
  <si>
    <t>TORNILLOCORTICAL 4.5*22mm ACERO</t>
  </si>
  <si>
    <t>201225757</t>
  </si>
  <si>
    <t>TORNILLOCORTICAL 4.5*24mm ACERO</t>
  </si>
  <si>
    <t>201225758</t>
  </si>
  <si>
    <t>TORNILLOCORTICAL 4.5*26mm ACERO</t>
  </si>
  <si>
    <t>210330220</t>
  </si>
  <si>
    <t>TORNILLOCORTICAL 4.5*28mm ACERO</t>
  </si>
  <si>
    <t>210329859</t>
  </si>
  <si>
    <t>TORNILLOCORTICAL 4.5*30mm ACERO</t>
  </si>
  <si>
    <t>210835225</t>
  </si>
  <si>
    <t>TORNILLOCORTICAL 4.5*32mm ACERO</t>
  </si>
  <si>
    <t>200112170</t>
  </si>
  <si>
    <t>TORNILLOCORTICAL 4.5*34mm ACERO</t>
  </si>
  <si>
    <t>200112171</t>
  </si>
  <si>
    <t>TORNILLOCORTICAL 4.5*36mm ACERO</t>
  </si>
  <si>
    <t>200112172</t>
  </si>
  <si>
    <t>TORNILLOCORTICAL 4.5*38mm ACERO</t>
  </si>
  <si>
    <t>200112173</t>
  </si>
  <si>
    <t>TORNILLOCORTICAL 4.5*40mm ACERO</t>
  </si>
  <si>
    <t>210936631</t>
  </si>
  <si>
    <t>TORNILLOCORTICAL 4.5*42mm ACERO</t>
  </si>
  <si>
    <t>210936632</t>
  </si>
  <si>
    <t>TORNILLOCORTICAL 4.5*44mm ACERO</t>
  </si>
  <si>
    <t>210936633</t>
  </si>
  <si>
    <t>TORNILLOCORTICAL 4.5*46mm ACERO</t>
  </si>
  <si>
    <t>TORNILLOCORTICAL 4.5*48mm ACERO</t>
  </si>
  <si>
    <t>TORNILLOCORTICAL 4.5*50mm ACERO</t>
  </si>
  <si>
    <t>TORNILLOCORTICAL 4.5*54mm ACERO</t>
  </si>
  <si>
    <t>TORNILLOCORTICAL 4.5*58mm ACERO</t>
  </si>
  <si>
    <t>TORNILLOCORTICAL 4.5*60mm ACERO</t>
  </si>
  <si>
    <t>TORNILLOCORTICAL 4.5*65mm ACERO</t>
  </si>
  <si>
    <t>TORNILLOCORTICAL 4.5*70mm ACERO</t>
  </si>
  <si>
    <t>TORNILLOCORTICAL 4.5*75mm ACERO</t>
  </si>
  <si>
    <t>TORNILLOCORTICAL 4.5*80mm ACERO</t>
  </si>
  <si>
    <t>TORNILLOCORTICAL 4.5*85mm ACERO</t>
  </si>
  <si>
    <t>TORNILLODE BLOQUEO 5.0*22mm ACERO</t>
  </si>
  <si>
    <t>TORNILLODE BLOQUEO 5.0*26mm ACERO</t>
  </si>
  <si>
    <t>TORNILLODE BLOQUEO 5.0*28mm ACERO</t>
  </si>
  <si>
    <t>TORNILLODE BLOQUEO 5.0*30mm ACERO</t>
  </si>
  <si>
    <t>TORNILLODE BLOQUEO 5.0*32mm ACERO</t>
  </si>
  <si>
    <t>TORNILLODE BLOQUEO 5.0*34mm ACERO</t>
  </si>
  <si>
    <t>TORNILLODE BLOQUEO 5.0*36mm ACERO</t>
  </si>
  <si>
    <t>TORNILLODE BLOQUEO 5.0*38mm ACERO</t>
  </si>
  <si>
    <t>200112208</t>
  </si>
  <si>
    <t>TORNILLODE BLOQUEO 5.0*40mm ACERO</t>
  </si>
  <si>
    <t>TORNILLODE BLOQUEO 5.0*42mm ACERO</t>
  </si>
  <si>
    <t>TORNILLODE BLOQUEO 5.0*44mm ACERO</t>
  </si>
  <si>
    <t>TORNILLODE BLOQUEO 5.0*46mm ACERO</t>
  </si>
  <si>
    <t>TORNILLODE BLOQUEO 5.0*48mm ACERO</t>
  </si>
  <si>
    <t>TORNILLODE BLOQUEO 5.0*50mm ACERO</t>
  </si>
  <si>
    <t>TORNILLODE BLOQUEO 5.0*52mm ACERO</t>
  </si>
  <si>
    <t>TORNILLODE BLOQUEO 5.0*54mm ACERO</t>
  </si>
  <si>
    <t>TORNILLODE BLOQUEO 5.0*56mm ACERO</t>
  </si>
  <si>
    <t>TORNILLODE BLOQUEO 5.0*58mm ACERO</t>
  </si>
  <si>
    <t>TORNILLOBLOQ. 5.0*60 MM ACERO</t>
  </si>
  <si>
    <t>TORNILLODE  BLOQUEO 5.0*65mm ACERO</t>
  </si>
  <si>
    <t>TORNILLODE BLOQUEO  5.0 *70mm ACERO</t>
  </si>
  <si>
    <t>TORNILLODE  BLOQUEO 5.0*75mm ACERO</t>
  </si>
  <si>
    <t>TORNILLODE BLOQUEO  5.0 *80mm ACERO</t>
  </si>
  <si>
    <t>TORNILLODE  BLOQUEO 5.0*85mm ACERO</t>
  </si>
  <si>
    <t>TORNILLOS ESPONJOSOS 6.5* 50 MM ROSCA CORTA ACERO</t>
  </si>
  <si>
    <t>TORNILLOS ESPONJOSOS 6.5* 80 MM ROSCA CORTA ACERO</t>
  </si>
  <si>
    <t>TORNILLO ESPONJOSO 6.5*40mm ACERO</t>
  </si>
  <si>
    <t>TORNILLOESPONJOSO 6.5*45mm ACERO</t>
  </si>
  <si>
    <t>TORNILLOESPONJOSO 6.5*50mm ACERO</t>
  </si>
  <si>
    <t>TORNILLOESPONJOSO 6.5*55mm ACERO</t>
  </si>
  <si>
    <t>TORNILLOESPONJOSO 6.5*60mm ACERO</t>
  </si>
  <si>
    <t>TORNILLOESPONJOSO 6.5*65mm ACERO</t>
  </si>
  <si>
    <t>TORNILLOESPONJOSO 6.5*70mm ACERO</t>
  </si>
  <si>
    <t>TORNILLOESPONJOSO 6.5*75mm ACERO</t>
  </si>
  <si>
    <t>TORNILLOESPONJOSO 6.5*80mm ACERO</t>
  </si>
  <si>
    <t>TORNILLOESPONJOSO 6.5*85mm ACERO</t>
  </si>
  <si>
    <t>TORNILLOESPONJOSO 6.5 *90mm ROSCA 32 TITANIO</t>
  </si>
  <si>
    <t>TORNILLOESPONJOSO 6.5*95mm ACERO</t>
  </si>
  <si>
    <t>TORNILLOESPONJOSO 6.5*100mm ACERO</t>
  </si>
  <si>
    <t>TORNILLOS ESPONJOSOS 6.5* 55 MM ROSCA FULL ACERO</t>
  </si>
  <si>
    <t>TORNILLOS ESPONJOSOS 6.5* 65 MM ROSCA FULL ACERO</t>
  </si>
  <si>
    <t>TORNILLOS ESPONJOSOS 6.5* 70 MM ROSCA FULL ACERO</t>
  </si>
  <si>
    <t>TORNILLOS ESPONJOSOS 6.5* 75 MM ROSCA FULL ACERO</t>
  </si>
  <si>
    <t>TORNILLOS ESPONJOSOS 6.5* 80 MM ROSCA FULL ACERO</t>
  </si>
  <si>
    <t>TORNILLOS ESPONJOSOS 6.5* 85 MM ROSCA FULL ACERO</t>
  </si>
  <si>
    <t>TORNILLOS ESPONJOSOS 6.5* 90 MM ROSCA FULL ACERO</t>
  </si>
  <si>
    <t>TORNILLOS ESPONJOSOS 6.5* 95 MM ROSCA FULL ACERO</t>
  </si>
  <si>
    <t>TORNILLOS ESPONJOSOS 6.5* 100 MM ROSCA FULL ACERO</t>
  </si>
  <si>
    <t>ARANDELA4.5mm ACERO</t>
  </si>
  <si>
    <t>Fecha de elaboración:</t>
  </si>
  <si>
    <t xml:space="preserve">Vigente hasta: </t>
  </si>
  <si>
    <t>SF-635.008R</t>
  </si>
  <si>
    <t/>
  </si>
  <si>
    <t>TORNILLOCORTICAL 4.5*52mm ACERO</t>
  </si>
  <si>
    <t>TORNILLOCORTICAL 4.5*56mm ACERO</t>
  </si>
  <si>
    <t>TORNILLOCORTICAL 4.5*90mm ACERO</t>
  </si>
  <si>
    <t>TORNILLODE  BLOQUEO 5.0*90mm ACERO</t>
  </si>
  <si>
    <t>TORNILLOS ESPONJOSOS 6.5* 30 MM ROSCA CORTA ACERO</t>
  </si>
  <si>
    <t>TORNILLOS ESPONJOSOS 6.5* 35 MM ROSCA CORTA ACERO</t>
  </si>
  <si>
    <t>TORNILLOS ESPONJOSOS 6.5* 40 MM ROSCA CORTA ACERO</t>
  </si>
  <si>
    <t>TORNILLOS ESPONJOSOS 6.5* 45 MM ROSCA CORTA ACERO</t>
  </si>
  <si>
    <t>TORNILLOS ESPONJOSOS 6.5* 55 MM ROSCA CORTA ACERO</t>
  </si>
  <si>
    <t>TORNILLOS ESPONJOSOS 6.5* 60 MM ROSCA CORTA ACERO</t>
  </si>
  <si>
    <t>TORNILLOS ESPONJOSOS 6.5* 65 MM ROSCA CORTA ACERO</t>
  </si>
  <si>
    <t>TORNILLOS ESPONJOSOS 6.5* 70 MM ROSCA CORTA ACERO</t>
  </si>
  <si>
    <t>TORNILLOS ESPONJOSOS 6.5* 75 MM ROSCA CORTA ACERO</t>
  </si>
  <si>
    <t>TORNILLOS ESPONJOSOS 6.5* 85 MM ROSCA CORTA ACERO</t>
  </si>
  <si>
    <t>TORNILLOS ESPONJOSOS 6.5* 90 MM ROSCA CORTA ACERO</t>
  </si>
  <si>
    <t>TORNILLOS ESPONJOSOS 6.5* 95 MM ROSCA CORTA ACERO</t>
  </si>
  <si>
    <t>TORNILLOS ESPONJOSOS 6.5* 100 MM ROSCA CORTA ACERO</t>
  </si>
  <si>
    <t>TORNILLOS ESPONJOSOS 6.5* 105 MM ROSCA LARGA ACERO</t>
  </si>
  <si>
    <t>TORNILLOS ESPONJOSOS 6.5* 110 MM ROSCA LARGA ACERO</t>
  </si>
  <si>
    <t>TORNILLOS ESPONJOSOS 6.5* 30 MM ROSCA FULL ACERO</t>
  </si>
  <si>
    <t>TORNILLOS ESPONJOSOS 6.5* 35 MM ROSCA FULL ACERO</t>
  </si>
  <si>
    <t>TORNILLOS ESPONJOSOS 6.5* 40 MM ROSCA FULL ACERO</t>
  </si>
  <si>
    <t>TORNILLOS ESPONJOSOS 6.5* 45 MM ROSCA FULL ACERO</t>
  </si>
  <si>
    <t>TORNILLOS ESPONJOSOS 6.5* 50 MM ROSCA FULL ACERO</t>
  </si>
  <si>
    <t>TORNILLOS ESPONJOSOS 6.5* 60 MM ROSCA FULL ACERO</t>
  </si>
  <si>
    <t>SF-500.024</t>
  </si>
  <si>
    <t>TORNILLODE BLOQUEO 5.0*24mm ACERO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</si>
</sst>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&quot;$&quot;* #,##0.00_ ;_ &quot;$&quot;* \-#,##0.00_ ;_ &quot;$&quot;* &quot;-&quot;??_ ;_ @_ "/>
    <numFmt numFmtId="165" formatCode="_(&quot;$&quot;* #,##0.00_);_(&quot;$&quot;* \(#,##0.00\);_(&quot;$&quot;* &quot;-&quot;??_);_(@_)"/>
    <numFmt numFmtId="166" formatCode="[$-F800]dddd\,\ mmmm\ dd\,\ yyyy"/>
    <numFmt numFmtId="167" formatCode="[$-C0A]d\ &quot;de&quot;\ mmmm\ &quot;de&quot;\ yyyy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20"/>
      <color rgb="FF0070C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165" fontId="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</cellStyleXfs>
  <cellXfs count="101">
    <xf numFmtId="0" fontId="0" fillId="0" borderId="0" xfId="0"/>
    <xf numFmtId="0" fontId="1" fillId="2" borderId="0" xfId="0" applyFont="1" applyFill="1" applyAlignment="1">
      <alignment horizontal="left" vertical="center"/>
    </xf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5" fillId="0" borderId="0" xfId="1" applyFont="1"/>
    <xf numFmtId="0" fontId="6" fillId="0" borderId="0" xfId="0" applyFont="1" applyAlignment="1">
      <alignment horizontal="center" vertical="center"/>
    </xf>
    <xf numFmtId="0" fontId="7" fillId="0" borderId="0" xfId="0" applyFont="1"/>
    <xf numFmtId="0" fontId="4" fillId="0" borderId="0" xfId="1" applyFont="1"/>
    <xf numFmtId="0" fontId="8" fillId="3" borderId="0" xfId="0" applyFont="1" applyFill="1" applyAlignment="1">
      <alignment vertical="center"/>
    </xf>
    <xf numFmtId="166" fontId="9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8" fillId="3" borderId="0" xfId="0" applyFont="1" applyFill="1" applyAlignment="1">
      <alignment vertical="center" wrapText="1"/>
    </xf>
    <xf numFmtId="0" fontId="9" fillId="0" borderId="1" xfId="0" applyFont="1" applyBorder="1" applyAlignment="1">
      <alignment vertical="center" wrapText="1"/>
    </xf>
    <xf numFmtId="20" fontId="9" fillId="0" borderId="1" xfId="0" applyNumberFormat="1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1" fillId="0" borderId="0" xfId="0" applyFont="1" applyAlignment="1">
      <alignment horizontal="left" vertical="top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7" fillId="0" borderId="0" xfId="0" applyFont="1" applyAlignment="1">
      <alignment wrapText="1"/>
    </xf>
    <xf numFmtId="0" fontId="14" fillId="0" borderId="0" xfId="0" applyFont="1"/>
    <xf numFmtId="0" fontId="15" fillId="0" borderId="0" xfId="0" applyFont="1"/>
    <xf numFmtId="0" fontId="7" fillId="0" borderId="0" xfId="0" applyFont="1" applyAlignment="1">
      <alignment horizontal="left"/>
    </xf>
    <xf numFmtId="49" fontId="9" fillId="0" borderId="1" xfId="0" applyNumberFormat="1" applyFont="1" applyBorder="1" applyAlignment="1">
      <alignment horizontal="left" vertical="center"/>
    </xf>
    <xf numFmtId="49" fontId="20" fillId="0" borderId="1" xfId="0" applyNumberFormat="1" applyFont="1" applyBorder="1" applyAlignment="1">
      <alignment horizontal="left" vertical="center"/>
    </xf>
    <xf numFmtId="0" fontId="9" fillId="2" borderId="1" xfId="0" applyFont="1" applyFill="1" applyBorder="1" applyAlignment="1">
      <alignment vertical="center"/>
    </xf>
    <xf numFmtId="49" fontId="9" fillId="2" borderId="1" xfId="0" applyNumberFormat="1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wrapText="1"/>
    </xf>
    <xf numFmtId="167" fontId="9" fillId="0" borderId="1" xfId="0" applyNumberFormat="1" applyFont="1" applyBorder="1" applyAlignment="1">
      <alignment horizontal="left" vertical="center"/>
    </xf>
    <xf numFmtId="0" fontId="12" fillId="0" borderId="1" xfId="1" applyFont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12" fillId="2" borderId="0" xfId="0" applyFont="1" applyFill="1" applyAlignment="1">
      <alignment horizontal="left"/>
    </xf>
    <xf numFmtId="0" fontId="7" fillId="0" borderId="1" xfId="0" applyFont="1" applyBorder="1" applyAlignment="1">
      <alignment horizontal="center"/>
    </xf>
    <xf numFmtId="49" fontId="9" fillId="0" borderId="0" xfId="0" applyNumberFormat="1" applyFont="1" applyAlignment="1">
      <alignment horizontal="center"/>
    </xf>
    <xf numFmtId="0" fontId="9" fillId="0" borderId="0" xfId="0" applyFont="1"/>
    <xf numFmtId="0" fontId="0" fillId="0" borderId="1" xfId="0" applyBorder="1"/>
    <xf numFmtId="0" fontId="24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5" fillId="0" borderId="1" xfId="0" applyFont="1" applyBorder="1"/>
    <xf numFmtId="49" fontId="12" fillId="5" borderId="1" xfId="0" applyNumberFormat="1" applyFont="1" applyFill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0" fontId="0" fillId="0" borderId="0" xfId="0"/>
    <xf numFmtId="0" fontId="7" fillId="0" borderId="0" xfId="0" applyFont="1"/>
    <xf numFmtId="0" fontId="11" fillId="0" borderId="0" xfId="0" applyFont="1" applyAlignment="1">
      <alignment horizontal="left" vertical="top"/>
    </xf>
    <xf numFmtId="0" fontId="13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3" fontId="26" fillId="2" borderId="1" xfId="0" applyNumberFormat="1" applyFont="1" applyFill="1" applyBorder="1" applyAlignment="1">
      <alignment horizontal="center"/>
    </xf>
    <xf numFmtId="0" fontId="26" fillId="2" borderId="1" xfId="0" applyFont="1" applyFill="1" applyBorder="1" applyAlignment="1">
      <alignment horizontal="center"/>
    </xf>
    <xf numFmtId="0" fontId="26" fillId="2" borderId="1" xfId="0" applyFont="1" applyFill="1" applyBorder="1" applyAlignment="1">
      <alignment horizontal="left"/>
    </xf>
    <xf numFmtId="0" fontId="6" fillId="0" borderId="1" xfId="0" applyFont="1" applyBorder="1" applyAlignment="1">
      <alignment horizontal="center"/>
    </xf>
    <xf numFmtId="0" fontId="12" fillId="0" borderId="1" xfId="0" applyFont="1" applyBorder="1"/>
    <xf numFmtId="0" fontId="12" fillId="6" borderId="1" xfId="0" applyFont="1" applyFill="1" applyBorder="1" applyAlignment="1">
      <alignment horizontal="center"/>
    </xf>
    <xf numFmtId="0" fontId="12" fillId="6" borderId="1" xfId="0" applyFont="1" applyFill="1" applyBorder="1"/>
    <xf numFmtId="0" fontId="7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1" xfId="0" applyFont="1" applyFill="1" applyBorder="1"/>
    <xf numFmtId="4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0" borderId="1" xfId="0" applyFont="1" applyBorder="1" applyAlignment="1">
      <alignment horizontal="center"/>
    </xf>
    <xf numFmtId="0" fontId="0" fillId="0" borderId="1" xfId="0" applyBorder="1"/>
    <xf numFmtId="0" fontId="12" fillId="0" borderId="1" xfId="0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1" fillId="0" borderId="3" xfId="0" applyFont="1" applyBorder="1" applyAlignment="1">
      <alignment horizontal="left"/>
    </xf>
    <xf numFmtId="49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left"/>
    </xf>
    <xf numFmtId="49" fontId="12" fillId="0" borderId="1" xfId="0" applyNumberFormat="1" applyFont="1" applyBorder="1" applyAlignment="1">
      <alignment horizontal="center"/>
    </xf>
    <xf numFmtId="49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3" fontId="12" fillId="2" borderId="1" xfId="0" applyNumberFormat="1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left"/>
    </xf>
    <xf numFmtId="0" fontId="15" fillId="0" borderId="4" xfId="0" applyFont="1" applyBorder="1"/>
    <xf numFmtId="0" fontId="22" fillId="0" borderId="1" xfId="0" applyFont="1" applyBorder="1" applyAlignment="1">
      <alignment vertical="center" wrapText="1"/>
    </xf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2" xfId="0" applyBorder="1" applyAlignment="1">
      <alignment horizontal="center"/>
    </xf>
    <xf numFmtId="0" fontId="4" fillId="0" borderId="9" xfId="1" applyFont="1" applyBorder="1"/>
    <xf numFmtId="0" fontId="4" fillId="0" borderId="10" xfId="1" applyFont="1" applyBorder="1"/>
    <xf numFmtId="14" fontId="22" fillId="0" borderId="1" xfId="0" applyNumberFormat="1" applyFont="1" applyBorder="1" applyAlignment="1">
      <alignment vertical="center" wrapText="1"/>
    </xf>
    <xf numFmtId="0" fontId="7" fillId="0" borderId="4" xfId="0" applyFont="1" applyBorder="1" applyAlignment="1">
      <alignment wrapText="1"/>
    </xf>
    <xf numFmtId="0" fontId="15" fillId="0" borderId="4" xfId="0" applyFont="1" applyBorder="1" applyAlignment="1">
      <alignment horizontal="left"/>
    </xf>
    <xf numFmtId="0" fontId="8" fillId="3" borderId="0" xfId="0" applyFont="1" applyFill="1" applyAlignment="1">
      <alignment horizontal="left" vertical="center"/>
    </xf>
    <xf numFmtId="0" fontId="8" fillId="3" borderId="2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21" fillId="2" borderId="1" xfId="0" applyFont="1" applyFill="1" applyBorder="1" applyAlignment="1">
      <alignment horizontal="left" vertical="center"/>
    </xf>
    <xf numFmtId="0" fontId="21" fillId="0" borderId="5" xfId="0" applyFont="1" applyBorder="1" applyAlignment="1">
      <alignment horizontal="center"/>
    </xf>
    <xf numFmtId="0" fontId="13" fillId="0" borderId="5" xfId="0" applyFont="1" applyBorder="1" applyAlignment="1">
      <alignment horizontal="center" vertical="center"/>
    </xf>
    <xf numFmtId="0" fontId="27" fillId="7" borderId="1" xfId="0" applyFont="1" applyFill="1" applyBorder="1" applyAlignment="1">
      <alignment horizontal="center" vertical="center"/>
    </xf>
  </cellXfs>
  <cellStyles count="7">
    <cellStyle name="Moneda 2" xfId="3"/>
    <cellStyle name="Moneda 3 2" xfId="2"/>
    <cellStyle name="Moneda 3 2 2" xfId="6"/>
    <cellStyle name="Normal" xfId="0" builtinId="0"/>
    <cellStyle name="Normal 2" xfId="1"/>
    <cellStyle name="Normal 3" xfId="5"/>
    <cellStyle name="Normal 3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34F7F124-0E22-447D-B349-429257CC53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6</xdr:col>
      <xdr:colOff>68036</xdr:colOff>
      <xdr:row>0</xdr:row>
      <xdr:rowOff>221119</xdr:rowOff>
    </xdr:from>
    <xdr:to>
      <xdr:col>7</xdr:col>
      <xdr:colOff>0</xdr:colOff>
      <xdr:row>2</xdr:row>
      <xdr:rowOff>102056</xdr:rowOff>
    </xdr:to>
    <xdr:sp macro="[0]!Módulo2.Buscar" textlink="">
      <xdr:nvSpPr>
        <xdr:cNvPr id="2" name="Marco 1"/>
        <xdr:cNvSpPr/>
      </xdr:nvSpPr>
      <xdr:spPr>
        <a:xfrm>
          <a:off x="12069536" y="221119"/>
          <a:ext cx="1755321" cy="370794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N230"/>
  <sheetViews>
    <sheetView showGridLines="0" tabSelected="1" zoomScale="70" zoomScaleNormal="70" zoomScaleSheetLayoutView="100" zoomScalePageLayoutView="80" workbookViewId="0">
      <pane xSplit="2" ySplit="5" topLeftCell="C15" activePane="bottomRight" state="frozen"/>
      <selection pane="topRight" activeCell="C1" sqref="C1"/>
      <selection pane="bottomLeft" activeCell="A6" sqref="A6"/>
      <selection pane="bottomRight" activeCell="C16" sqref="C16"/>
    </sheetView>
  </sheetViews>
  <sheetFormatPr baseColWidth="10" defaultColWidth="11.42578125" defaultRowHeight="20.100000000000001" customHeight="1" x14ac:dyDescent="0.2"/>
  <cols>
    <col min="1" max="1" width="21.28515625" style="6" bestFit="1" customWidth="1"/>
    <col min="2" max="2" width="14.7109375" style="26" customWidth="1"/>
    <col min="3" max="3" width="86.28515625" style="23" customWidth="1"/>
    <col min="4" max="4" width="22.5703125" style="23" customWidth="1"/>
    <col min="5" max="5" width="17.7109375" style="23" customWidth="1"/>
    <col min="6" max="6" width="17.42578125" style="6" customWidth="1"/>
    <col min="7" max="7" width="27.42578125" style="6" customWidth="1"/>
    <col min="8" max="8" width="32.42578125" style="6" customWidth="1"/>
    <col min="9" max="9" width="5.85546875" style="6" customWidth="1"/>
    <col min="10" max="10" width="72.42578125" style="6" bestFit="1" customWidth="1"/>
    <col min="11" max="11" width="11.42578125" style="6"/>
    <col min="12" max="12" width="14.42578125" style="6" bestFit="1" customWidth="1"/>
    <col min="13" max="13" width="50.140625" style="6" bestFit="1" customWidth="1"/>
    <col min="14" max="258" width="11.42578125" style="6"/>
    <col min="259" max="259" width="13.140625" style="6" customWidth="1"/>
    <col min="260" max="260" width="15.140625" style="6" customWidth="1"/>
    <col min="261" max="261" width="42" style="6" customWidth="1"/>
    <col min="262" max="262" width="11.42578125" style="6"/>
    <col min="263" max="263" width="13.140625" style="6" customWidth="1"/>
    <col min="264" max="514" width="11.42578125" style="6"/>
    <col min="515" max="515" width="13.140625" style="6" customWidth="1"/>
    <col min="516" max="516" width="15.140625" style="6" customWidth="1"/>
    <col min="517" max="517" width="42" style="6" customWidth="1"/>
    <col min="518" max="518" width="11.42578125" style="6"/>
    <col min="519" max="519" width="13.140625" style="6" customWidth="1"/>
    <col min="520" max="770" width="11.42578125" style="6"/>
    <col min="771" max="771" width="13.140625" style="6" customWidth="1"/>
    <col min="772" max="772" width="15.140625" style="6" customWidth="1"/>
    <col min="773" max="773" width="42" style="6" customWidth="1"/>
    <col min="774" max="774" width="11.42578125" style="6"/>
    <col min="775" max="775" width="13.140625" style="6" customWidth="1"/>
    <col min="776" max="1026" width="11.42578125" style="6"/>
    <col min="1027" max="1027" width="13.140625" style="6" customWidth="1"/>
    <col min="1028" max="1028" width="15.140625" style="6" customWidth="1"/>
    <col min="1029" max="1029" width="42" style="6" customWidth="1"/>
    <col min="1030" max="1030" width="11.42578125" style="6"/>
    <col min="1031" max="1031" width="13.140625" style="6" customWidth="1"/>
    <col min="1032" max="1282" width="11.42578125" style="6"/>
    <col min="1283" max="1283" width="13.140625" style="6" customWidth="1"/>
    <col min="1284" max="1284" width="15.140625" style="6" customWidth="1"/>
    <col min="1285" max="1285" width="42" style="6" customWidth="1"/>
    <col min="1286" max="1286" width="11.42578125" style="6"/>
    <col min="1287" max="1287" width="13.140625" style="6" customWidth="1"/>
    <col min="1288" max="1538" width="11.42578125" style="6"/>
    <col min="1539" max="1539" width="13.140625" style="6" customWidth="1"/>
    <col min="1540" max="1540" width="15.140625" style="6" customWidth="1"/>
    <col min="1541" max="1541" width="42" style="6" customWidth="1"/>
    <col min="1542" max="1542" width="11.42578125" style="6"/>
    <col min="1543" max="1543" width="13.140625" style="6" customWidth="1"/>
    <col min="1544" max="1794" width="11.42578125" style="6"/>
    <col min="1795" max="1795" width="13.140625" style="6" customWidth="1"/>
    <col min="1796" max="1796" width="15.140625" style="6" customWidth="1"/>
    <col min="1797" max="1797" width="42" style="6" customWidth="1"/>
    <col min="1798" max="1798" width="11.42578125" style="6"/>
    <col min="1799" max="1799" width="13.140625" style="6" customWidth="1"/>
    <col min="1800" max="2050" width="11.42578125" style="6"/>
    <col min="2051" max="2051" width="13.140625" style="6" customWidth="1"/>
    <col min="2052" max="2052" width="15.140625" style="6" customWidth="1"/>
    <col min="2053" max="2053" width="42" style="6" customWidth="1"/>
    <col min="2054" max="2054" width="11.42578125" style="6"/>
    <col min="2055" max="2055" width="13.140625" style="6" customWidth="1"/>
    <col min="2056" max="2306" width="11.42578125" style="6"/>
    <col min="2307" max="2307" width="13.140625" style="6" customWidth="1"/>
    <col min="2308" max="2308" width="15.140625" style="6" customWidth="1"/>
    <col min="2309" max="2309" width="42" style="6" customWidth="1"/>
    <col min="2310" max="2310" width="11.42578125" style="6"/>
    <col min="2311" max="2311" width="13.140625" style="6" customWidth="1"/>
    <col min="2312" max="2562" width="11.42578125" style="6"/>
    <col min="2563" max="2563" width="13.140625" style="6" customWidth="1"/>
    <col min="2564" max="2564" width="15.140625" style="6" customWidth="1"/>
    <col min="2565" max="2565" width="42" style="6" customWidth="1"/>
    <col min="2566" max="2566" width="11.42578125" style="6"/>
    <col min="2567" max="2567" width="13.140625" style="6" customWidth="1"/>
    <col min="2568" max="2818" width="11.42578125" style="6"/>
    <col min="2819" max="2819" width="13.140625" style="6" customWidth="1"/>
    <col min="2820" max="2820" width="15.140625" style="6" customWidth="1"/>
    <col min="2821" max="2821" width="42" style="6" customWidth="1"/>
    <col min="2822" max="2822" width="11.42578125" style="6"/>
    <col min="2823" max="2823" width="13.140625" style="6" customWidth="1"/>
    <col min="2824" max="3074" width="11.42578125" style="6"/>
    <col min="3075" max="3075" width="13.140625" style="6" customWidth="1"/>
    <col min="3076" max="3076" width="15.140625" style="6" customWidth="1"/>
    <col min="3077" max="3077" width="42" style="6" customWidth="1"/>
    <col min="3078" max="3078" width="11.42578125" style="6"/>
    <col min="3079" max="3079" width="13.140625" style="6" customWidth="1"/>
    <col min="3080" max="3330" width="11.42578125" style="6"/>
    <col min="3331" max="3331" width="13.140625" style="6" customWidth="1"/>
    <col min="3332" max="3332" width="15.140625" style="6" customWidth="1"/>
    <col min="3333" max="3333" width="42" style="6" customWidth="1"/>
    <col min="3334" max="3334" width="11.42578125" style="6"/>
    <col min="3335" max="3335" width="13.140625" style="6" customWidth="1"/>
    <col min="3336" max="3586" width="11.42578125" style="6"/>
    <col min="3587" max="3587" width="13.140625" style="6" customWidth="1"/>
    <col min="3588" max="3588" width="15.140625" style="6" customWidth="1"/>
    <col min="3589" max="3589" width="42" style="6" customWidth="1"/>
    <col min="3590" max="3590" width="11.42578125" style="6"/>
    <col min="3591" max="3591" width="13.140625" style="6" customWidth="1"/>
    <col min="3592" max="3842" width="11.42578125" style="6"/>
    <col min="3843" max="3843" width="13.140625" style="6" customWidth="1"/>
    <col min="3844" max="3844" width="15.140625" style="6" customWidth="1"/>
    <col min="3845" max="3845" width="42" style="6" customWidth="1"/>
    <col min="3846" max="3846" width="11.42578125" style="6"/>
    <col min="3847" max="3847" width="13.140625" style="6" customWidth="1"/>
    <col min="3848" max="4098" width="11.42578125" style="6"/>
    <col min="4099" max="4099" width="13.140625" style="6" customWidth="1"/>
    <col min="4100" max="4100" width="15.140625" style="6" customWidth="1"/>
    <col min="4101" max="4101" width="42" style="6" customWidth="1"/>
    <col min="4102" max="4102" width="11.42578125" style="6"/>
    <col min="4103" max="4103" width="13.140625" style="6" customWidth="1"/>
    <col min="4104" max="4354" width="11.42578125" style="6"/>
    <col min="4355" max="4355" width="13.140625" style="6" customWidth="1"/>
    <col min="4356" max="4356" width="15.140625" style="6" customWidth="1"/>
    <col min="4357" max="4357" width="42" style="6" customWidth="1"/>
    <col min="4358" max="4358" width="11.42578125" style="6"/>
    <col min="4359" max="4359" width="13.140625" style="6" customWidth="1"/>
    <col min="4360" max="4610" width="11.42578125" style="6"/>
    <col min="4611" max="4611" width="13.140625" style="6" customWidth="1"/>
    <col min="4612" max="4612" width="15.140625" style="6" customWidth="1"/>
    <col min="4613" max="4613" width="42" style="6" customWidth="1"/>
    <col min="4614" max="4614" width="11.42578125" style="6"/>
    <col min="4615" max="4615" width="13.140625" style="6" customWidth="1"/>
    <col min="4616" max="4866" width="11.42578125" style="6"/>
    <col min="4867" max="4867" width="13.140625" style="6" customWidth="1"/>
    <col min="4868" max="4868" width="15.140625" style="6" customWidth="1"/>
    <col min="4869" max="4869" width="42" style="6" customWidth="1"/>
    <col min="4870" max="4870" width="11.42578125" style="6"/>
    <col min="4871" max="4871" width="13.140625" style="6" customWidth="1"/>
    <col min="4872" max="5122" width="11.42578125" style="6"/>
    <col min="5123" max="5123" width="13.140625" style="6" customWidth="1"/>
    <col min="5124" max="5124" width="15.140625" style="6" customWidth="1"/>
    <col min="5125" max="5125" width="42" style="6" customWidth="1"/>
    <col min="5126" max="5126" width="11.42578125" style="6"/>
    <col min="5127" max="5127" width="13.140625" style="6" customWidth="1"/>
    <col min="5128" max="5378" width="11.42578125" style="6"/>
    <col min="5379" max="5379" width="13.140625" style="6" customWidth="1"/>
    <col min="5380" max="5380" width="15.140625" style="6" customWidth="1"/>
    <col min="5381" max="5381" width="42" style="6" customWidth="1"/>
    <col min="5382" max="5382" width="11.42578125" style="6"/>
    <col min="5383" max="5383" width="13.140625" style="6" customWidth="1"/>
    <col min="5384" max="5634" width="11.42578125" style="6"/>
    <col min="5635" max="5635" width="13.140625" style="6" customWidth="1"/>
    <col min="5636" max="5636" width="15.140625" style="6" customWidth="1"/>
    <col min="5637" max="5637" width="42" style="6" customWidth="1"/>
    <col min="5638" max="5638" width="11.42578125" style="6"/>
    <col min="5639" max="5639" width="13.140625" style="6" customWidth="1"/>
    <col min="5640" max="5890" width="11.42578125" style="6"/>
    <col min="5891" max="5891" width="13.140625" style="6" customWidth="1"/>
    <col min="5892" max="5892" width="15.140625" style="6" customWidth="1"/>
    <col min="5893" max="5893" width="42" style="6" customWidth="1"/>
    <col min="5894" max="5894" width="11.42578125" style="6"/>
    <col min="5895" max="5895" width="13.140625" style="6" customWidth="1"/>
    <col min="5896" max="6146" width="11.42578125" style="6"/>
    <col min="6147" max="6147" width="13.140625" style="6" customWidth="1"/>
    <col min="6148" max="6148" width="15.140625" style="6" customWidth="1"/>
    <col min="6149" max="6149" width="42" style="6" customWidth="1"/>
    <col min="6150" max="6150" width="11.42578125" style="6"/>
    <col min="6151" max="6151" width="13.140625" style="6" customWidth="1"/>
    <col min="6152" max="6402" width="11.42578125" style="6"/>
    <col min="6403" max="6403" width="13.140625" style="6" customWidth="1"/>
    <col min="6404" max="6404" width="15.140625" style="6" customWidth="1"/>
    <col min="6405" max="6405" width="42" style="6" customWidth="1"/>
    <col min="6406" max="6406" width="11.42578125" style="6"/>
    <col min="6407" max="6407" width="13.140625" style="6" customWidth="1"/>
    <col min="6408" max="6658" width="11.42578125" style="6"/>
    <col min="6659" max="6659" width="13.140625" style="6" customWidth="1"/>
    <col min="6660" max="6660" width="15.140625" style="6" customWidth="1"/>
    <col min="6661" max="6661" width="42" style="6" customWidth="1"/>
    <col min="6662" max="6662" width="11.42578125" style="6"/>
    <col min="6663" max="6663" width="13.140625" style="6" customWidth="1"/>
    <col min="6664" max="6914" width="11.42578125" style="6"/>
    <col min="6915" max="6915" width="13.140625" style="6" customWidth="1"/>
    <col min="6916" max="6916" width="15.140625" style="6" customWidth="1"/>
    <col min="6917" max="6917" width="42" style="6" customWidth="1"/>
    <col min="6918" max="6918" width="11.42578125" style="6"/>
    <col min="6919" max="6919" width="13.140625" style="6" customWidth="1"/>
    <col min="6920" max="7170" width="11.42578125" style="6"/>
    <col min="7171" max="7171" width="13.140625" style="6" customWidth="1"/>
    <col min="7172" max="7172" width="15.140625" style="6" customWidth="1"/>
    <col min="7173" max="7173" width="42" style="6" customWidth="1"/>
    <col min="7174" max="7174" width="11.42578125" style="6"/>
    <col min="7175" max="7175" width="13.140625" style="6" customWidth="1"/>
    <col min="7176" max="7426" width="11.42578125" style="6"/>
    <col min="7427" max="7427" width="13.140625" style="6" customWidth="1"/>
    <col min="7428" max="7428" width="15.140625" style="6" customWidth="1"/>
    <col min="7429" max="7429" width="42" style="6" customWidth="1"/>
    <col min="7430" max="7430" width="11.42578125" style="6"/>
    <col min="7431" max="7431" width="13.140625" style="6" customWidth="1"/>
    <col min="7432" max="7682" width="11.42578125" style="6"/>
    <col min="7683" max="7683" width="13.140625" style="6" customWidth="1"/>
    <col min="7684" max="7684" width="15.140625" style="6" customWidth="1"/>
    <col min="7685" max="7685" width="42" style="6" customWidth="1"/>
    <col min="7686" max="7686" width="11.42578125" style="6"/>
    <col min="7687" max="7687" width="13.140625" style="6" customWidth="1"/>
    <col min="7688" max="7938" width="11.42578125" style="6"/>
    <col min="7939" max="7939" width="13.140625" style="6" customWidth="1"/>
    <col min="7940" max="7940" width="15.140625" style="6" customWidth="1"/>
    <col min="7941" max="7941" width="42" style="6" customWidth="1"/>
    <col min="7942" max="7942" width="11.42578125" style="6"/>
    <col min="7943" max="7943" width="13.140625" style="6" customWidth="1"/>
    <col min="7944" max="8194" width="11.42578125" style="6"/>
    <col min="8195" max="8195" width="13.140625" style="6" customWidth="1"/>
    <col min="8196" max="8196" width="15.140625" style="6" customWidth="1"/>
    <col min="8197" max="8197" width="42" style="6" customWidth="1"/>
    <col min="8198" max="8198" width="11.42578125" style="6"/>
    <col min="8199" max="8199" width="13.140625" style="6" customWidth="1"/>
    <col min="8200" max="8450" width="11.42578125" style="6"/>
    <col min="8451" max="8451" width="13.140625" style="6" customWidth="1"/>
    <col min="8452" max="8452" width="15.140625" style="6" customWidth="1"/>
    <col min="8453" max="8453" width="42" style="6" customWidth="1"/>
    <col min="8454" max="8454" width="11.42578125" style="6"/>
    <col min="8455" max="8455" width="13.140625" style="6" customWidth="1"/>
    <col min="8456" max="8706" width="11.42578125" style="6"/>
    <col min="8707" max="8707" width="13.140625" style="6" customWidth="1"/>
    <col min="8708" max="8708" width="15.140625" style="6" customWidth="1"/>
    <col min="8709" max="8709" width="42" style="6" customWidth="1"/>
    <col min="8710" max="8710" width="11.42578125" style="6"/>
    <col min="8711" max="8711" width="13.140625" style="6" customWidth="1"/>
    <col min="8712" max="8962" width="11.42578125" style="6"/>
    <col min="8963" max="8963" width="13.140625" style="6" customWidth="1"/>
    <col min="8964" max="8964" width="15.140625" style="6" customWidth="1"/>
    <col min="8965" max="8965" width="42" style="6" customWidth="1"/>
    <col min="8966" max="8966" width="11.42578125" style="6"/>
    <col min="8967" max="8967" width="13.140625" style="6" customWidth="1"/>
    <col min="8968" max="9218" width="11.42578125" style="6"/>
    <col min="9219" max="9219" width="13.140625" style="6" customWidth="1"/>
    <col min="9220" max="9220" width="15.140625" style="6" customWidth="1"/>
    <col min="9221" max="9221" width="42" style="6" customWidth="1"/>
    <col min="9222" max="9222" width="11.42578125" style="6"/>
    <col min="9223" max="9223" width="13.140625" style="6" customWidth="1"/>
    <col min="9224" max="9474" width="11.42578125" style="6"/>
    <col min="9475" max="9475" width="13.140625" style="6" customWidth="1"/>
    <col min="9476" max="9476" width="15.140625" style="6" customWidth="1"/>
    <col min="9477" max="9477" width="42" style="6" customWidth="1"/>
    <col min="9478" max="9478" width="11.42578125" style="6"/>
    <col min="9479" max="9479" width="13.140625" style="6" customWidth="1"/>
    <col min="9480" max="9730" width="11.42578125" style="6"/>
    <col min="9731" max="9731" width="13.140625" style="6" customWidth="1"/>
    <col min="9732" max="9732" width="15.140625" style="6" customWidth="1"/>
    <col min="9733" max="9733" width="42" style="6" customWidth="1"/>
    <col min="9734" max="9734" width="11.42578125" style="6"/>
    <col min="9735" max="9735" width="13.140625" style="6" customWidth="1"/>
    <col min="9736" max="9986" width="11.42578125" style="6"/>
    <col min="9987" max="9987" width="13.140625" style="6" customWidth="1"/>
    <col min="9988" max="9988" width="15.140625" style="6" customWidth="1"/>
    <col min="9989" max="9989" width="42" style="6" customWidth="1"/>
    <col min="9990" max="9990" width="11.42578125" style="6"/>
    <col min="9991" max="9991" width="13.140625" style="6" customWidth="1"/>
    <col min="9992" max="10242" width="11.42578125" style="6"/>
    <col min="10243" max="10243" width="13.140625" style="6" customWidth="1"/>
    <col min="10244" max="10244" width="15.140625" style="6" customWidth="1"/>
    <col min="10245" max="10245" width="42" style="6" customWidth="1"/>
    <col min="10246" max="10246" width="11.42578125" style="6"/>
    <col min="10247" max="10247" width="13.140625" style="6" customWidth="1"/>
    <col min="10248" max="10498" width="11.42578125" style="6"/>
    <col min="10499" max="10499" width="13.140625" style="6" customWidth="1"/>
    <col min="10500" max="10500" width="15.140625" style="6" customWidth="1"/>
    <col min="10501" max="10501" width="42" style="6" customWidth="1"/>
    <col min="10502" max="10502" width="11.42578125" style="6"/>
    <col min="10503" max="10503" width="13.140625" style="6" customWidth="1"/>
    <col min="10504" max="10754" width="11.42578125" style="6"/>
    <col min="10755" max="10755" width="13.140625" style="6" customWidth="1"/>
    <col min="10756" max="10756" width="15.140625" style="6" customWidth="1"/>
    <col min="10757" max="10757" width="42" style="6" customWidth="1"/>
    <col min="10758" max="10758" width="11.42578125" style="6"/>
    <col min="10759" max="10759" width="13.140625" style="6" customWidth="1"/>
    <col min="10760" max="11010" width="11.42578125" style="6"/>
    <col min="11011" max="11011" width="13.140625" style="6" customWidth="1"/>
    <col min="11012" max="11012" width="15.140625" style="6" customWidth="1"/>
    <col min="11013" max="11013" width="42" style="6" customWidth="1"/>
    <col min="11014" max="11014" width="11.42578125" style="6"/>
    <col min="11015" max="11015" width="13.140625" style="6" customWidth="1"/>
    <col min="11016" max="11266" width="11.42578125" style="6"/>
    <col min="11267" max="11267" width="13.140625" style="6" customWidth="1"/>
    <col min="11268" max="11268" width="15.140625" style="6" customWidth="1"/>
    <col min="11269" max="11269" width="42" style="6" customWidth="1"/>
    <col min="11270" max="11270" width="11.42578125" style="6"/>
    <col min="11271" max="11271" width="13.140625" style="6" customWidth="1"/>
    <col min="11272" max="11522" width="11.42578125" style="6"/>
    <col min="11523" max="11523" width="13.140625" style="6" customWidth="1"/>
    <col min="11524" max="11524" width="15.140625" style="6" customWidth="1"/>
    <col min="11525" max="11525" width="42" style="6" customWidth="1"/>
    <col min="11526" max="11526" width="11.42578125" style="6"/>
    <col min="11527" max="11527" width="13.140625" style="6" customWidth="1"/>
    <col min="11528" max="11778" width="11.42578125" style="6"/>
    <col min="11779" max="11779" width="13.140625" style="6" customWidth="1"/>
    <col min="11780" max="11780" width="15.140625" style="6" customWidth="1"/>
    <col min="11781" max="11781" width="42" style="6" customWidth="1"/>
    <col min="11782" max="11782" width="11.42578125" style="6"/>
    <col min="11783" max="11783" width="13.140625" style="6" customWidth="1"/>
    <col min="11784" max="12034" width="11.42578125" style="6"/>
    <col min="12035" max="12035" width="13.140625" style="6" customWidth="1"/>
    <col min="12036" max="12036" width="15.140625" style="6" customWidth="1"/>
    <col min="12037" max="12037" width="42" style="6" customWidth="1"/>
    <col min="12038" max="12038" width="11.42578125" style="6"/>
    <col min="12039" max="12039" width="13.140625" style="6" customWidth="1"/>
    <col min="12040" max="12290" width="11.42578125" style="6"/>
    <col min="12291" max="12291" width="13.140625" style="6" customWidth="1"/>
    <col min="12292" max="12292" width="15.140625" style="6" customWidth="1"/>
    <col min="12293" max="12293" width="42" style="6" customWidth="1"/>
    <col min="12294" max="12294" width="11.42578125" style="6"/>
    <col min="12295" max="12295" width="13.140625" style="6" customWidth="1"/>
    <col min="12296" max="12546" width="11.42578125" style="6"/>
    <col min="12547" max="12547" width="13.140625" style="6" customWidth="1"/>
    <col min="12548" max="12548" width="15.140625" style="6" customWidth="1"/>
    <col min="12549" max="12549" width="42" style="6" customWidth="1"/>
    <col min="12550" max="12550" width="11.42578125" style="6"/>
    <col min="12551" max="12551" width="13.140625" style="6" customWidth="1"/>
    <col min="12552" max="12802" width="11.42578125" style="6"/>
    <col min="12803" max="12803" width="13.140625" style="6" customWidth="1"/>
    <col min="12804" max="12804" width="15.140625" style="6" customWidth="1"/>
    <col min="12805" max="12805" width="42" style="6" customWidth="1"/>
    <col min="12806" max="12806" width="11.42578125" style="6"/>
    <col min="12807" max="12807" width="13.140625" style="6" customWidth="1"/>
    <col min="12808" max="13058" width="11.42578125" style="6"/>
    <col min="13059" max="13059" width="13.140625" style="6" customWidth="1"/>
    <col min="13060" max="13060" width="15.140625" style="6" customWidth="1"/>
    <col min="13061" max="13061" width="42" style="6" customWidth="1"/>
    <col min="13062" max="13062" width="11.42578125" style="6"/>
    <col min="13063" max="13063" width="13.140625" style="6" customWidth="1"/>
    <col min="13064" max="13314" width="11.42578125" style="6"/>
    <col min="13315" max="13315" width="13.140625" style="6" customWidth="1"/>
    <col min="13316" max="13316" width="15.140625" style="6" customWidth="1"/>
    <col min="13317" max="13317" width="42" style="6" customWidth="1"/>
    <col min="13318" max="13318" width="11.42578125" style="6"/>
    <col min="13319" max="13319" width="13.140625" style="6" customWidth="1"/>
    <col min="13320" max="13570" width="11.42578125" style="6"/>
    <col min="13571" max="13571" width="13.140625" style="6" customWidth="1"/>
    <col min="13572" max="13572" width="15.140625" style="6" customWidth="1"/>
    <col min="13573" max="13573" width="42" style="6" customWidth="1"/>
    <col min="13574" max="13574" width="11.42578125" style="6"/>
    <col min="13575" max="13575" width="13.140625" style="6" customWidth="1"/>
    <col min="13576" max="13826" width="11.42578125" style="6"/>
    <col min="13827" max="13827" width="13.140625" style="6" customWidth="1"/>
    <col min="13828" max="13828" width="15.140625" style="6" customWidth="1"/>
    <col min="13829" max="13829" width="42" style="6" customWidth="1"/>
    <col min="13830" max="13830" width="11.42578125" style="6"/>
    <col min="13831" max="13831" width="13.140625" style="6" customWidth="1"/>
    <col min="13832" max="14082" width="11.42578125" style="6"/>
    <col min="14083" max="14083" width="13.140625" style="6" customWidth="1"/>
    <col min="14084" max="14084" width="15.140625" style="6" customWidth="1"/>
    <col min="14085" max="14085" width="42" style="6" customWidth="1"/>
    <col min="14086" max="14086" width="11.42578125" style="6"/>
    <col min="14087" max="14087" width="13.140625" style="6" customWidth="1"/>
    <col min="14088" max="14338" width="11.42578125" style="6"/>
    <col min="14339" max="14339" width="13.140625" style="6" customWidth="1"/>
    <col min="14340" max="14340" width="15.140625" style="6" customWidth="1"/>
    <col min="14341" max="14341" width="42" style="6" customWidth="1"/>
    <col min="14342" max="14342" width="11.42578125" style="6"/>
    <col min="14343" max="14343" width="13.140625" style="6" customWidth="1"/>
    <col min="14344" max="14594" width="11.42578125" style="6"/>
    <col min="14595" max="14595" width="13.140625" style="6" customWidth="1"/>
    <col min="14596" max="14596" width="15.140625" style="6" customWidth="1"/>
    <col min="14597" max="14597" width="42" style="6" customWidth="1"/>
    <col min="14598" max="14598" width="11.42578125" style="6"/>
    <col min="14599" max="14599" width="13.140625" style="6" customWidth="1"/>
    <col min="14600" max="14850" width="11.42578125" style="6"/>
    <col min="14851" max="14851" width="13.140625" style="6" customWidth="1"/>
    <col min="14852" max="14852" width="15.140625" style="6" customWidth="1"/>
    <col min="14853" max="14853" width="42" style="6" customWidth="1"/>
    <col min="14854" max="14854" width="11.42578125" style="6"/>
    <col min="14855" max="14855" width="13.140625" style="6" customWidth="1"/>
    <col min="14856" max="15106" width="11.42578125" style="6"/>
    <col min="15107" max="15107" width="13.140625" style="6" customWidth="1"/>
    <col min="15108" max="15108" width="15.140625" style="6" customWidth="1"/>
    <col min="15109" max="15109" width="42" style="6" customWidth="1"/>
    <col min="15110" max="15110" width="11.42578125" style="6"/>
    <col min="15111" max="15111" width="13.140625" style="6" customWidth="1"/>
    <col min="15112" max="15362" width="11.42578125" style="6"/>
    <col min="15363" max="15363" width="13.140625" style="6" customWidth="1"/>
    <col min="15364" max="15364" width="15.140625" style="6" customWidth="1"/>
    <col min="15365" max="15365" width="42" style="6" customWidth="1"/>
    <col min="15366" max="15366" width="11.42578125" style="6"/>
    <col min="15367" max="15367" width="13.140625" style="6" customWidth="1"/>
    <col min="15368" max="15618" width="11.42578125" style="6"/>
    <col min="15619" max="15619" width="13.140625" style="6" customWidth="1"/>
    <col min="15620" max="15620" width="15.140625" style="6" customWidth="1"/>
    <col min="15621" max="15621" width="42" style="6" customWidth="1"/>
    <col min="15622" max="15622" width="11.42578125" style="6"/>
    <col min="15623" max="15623" width="13.140625" style="6" customWidth="1"/>
    <col min="15624" max="15874" width="11.42578125" style="6"/>
    <col min="15875" max="15875" width="13.140625" style="6" customWidth="1"/>
    <col min="15876" max="15876" width="15.140625" style="6" customWidth="1"/>
    <col min="15877" max="15877" width="42" style="6" customWidth="1"/>
    <col min="15878" max="15878" width="11.42578125" style="6"/>
    <col min="15879" max="15879" width="13.140625" style="6" customWidth="1"/>
    <col min="15880" max="16130" width="11.42578125" style="6"/>
    <col min="16131" max="16131" width="13.140625" style="6" customWidth="1"/>
    <col min="16132" max="16132" width="15.140625" style="6" customWidth="1"/>
    <col min="16133" max="16133" width="42" style="6" customWidth="1"/>
    <col min="16134" max="16134" width="11.42578125" style="6"/>
    <col min="16135" max="16135" width="13.140625" style="6" customWidth="1"/>
    <col min="16136" max="16384" width="11.42578125" style="6"/>
  </cols>
  <sheetData>
    <row r="2" spans="1:14" customFormat="1" ht="20.100000000000001" customHeight="1" x14ac:dyDescent="0.25">
      <c r="A2" s="85"/>
      <c r="B2" s="86"/>
      <c r="C2" s="99" t="s">
        <v>25</v>
      </c>
      <c r="D2" s="97" t="s">
        <v>24</v>
      </c>
      <c r="E2" s="97"/>
      <c r="F2" s="1"/>
      <c r="G2" s="1"/>
      <c r="H2" s="1"/>
      <c r="I2" s="1"/>
      <c r="J2" s="2"/>
      <c r="K2" s="3"/>
    </row>
    <row r="3" spans="1:14" customFormat="1" ht="20.100000000000001" customHeight="1" x14ac:dyDescent="0.25">
      <c r="A3" s="87"/>
      <c r="B3" s="88"/>
      <c r="C3" s="99"/>
      <c r="D3" s="84" t="s">
        <v>27</v>
      </c>
      <c r="E3" s="84"/>
      <c r="F3" s="1"/>
      <c r="G3" s="1"/>
      <c r="H3" s="1"/>
      <c r="I3" s="1"/>
      <c r="J3" s="2"/>
      <c r="K3" s="3"/>
    </row>
    <row r="4" spans="1:14" customFormat="1" ht="20.100000000000001" customHeight="1" x14ac:dyDescent="0.25">
      <c r="A4" s="87"/>
      <c r="B4" s="88"/>
      <c r="C4" s="98" t="s">
        <v>26</v>
      </c>
      <c r="D4" s="84" t="s">
        <v>318</v>
      </c>
      <c r="E4" s="91">
        <f ca="1">NOW()</f>
        <v>45040.521881712964</v>
      </c>
      <c r="F4" s="1"/>
      <c r="G4" s="100">
        <v>124</v>
      </c>
      <c r="H4" s="2"/>
      <c r="I4" s="1"/>
      <c r="J4" s="2"/>
      <c r="K4" s="3"/>
    </row>
    <row r="5" spans="1:14" customFormat="1" ht="27.75" customHeight="1" x14ac:dyDescent="0.35">
      <c r="A5" s="89"/>
      <c r="B5" s="90"/>
      <c r="C5" s="98"/>
      <c r="D5" s="84" t="s">
        <v>319</v>
      </c>
      <c r="E5" s="91">
        <f ca="1">NOW()</f>
        <v>45040.521881712964</v>
      </c>
      <c r="F5" s="4"/>
      <c r="G5" s="4"/>
      <c r="H5" s="4"/>
      <c r="I5" s="4"/>
      <c r="J5" s="4"/>
      <c r="K5" s="4"/>
      <c r="L5" s="96"/>
      <c r="M5" s="96"/>
      <c r="N5" s="6"/>
    </row>
    <row r="6" spans="1:14" ht="20.100000000000001" customHeight="1" x14ac:dyDescent="0.25">
      <c r="A6" s="7"/>
      <c r="B6" s="7"/>
      <c r="C6" s="7"/>
      <c r="D6" s="7"/>
      <c r="E6" s="7"/>
      <c r="L6" s="96"/>
      <c r="M6" s="96"/>
    </row>
    <row r="7" spans="1:14" ht="20.100000000000001" customHeight="1" x14ac:dyDescent="0.2">
      <c r="A7" s="8" t="s">
        <v>0</v>
      </c>
      <c r="B7" s="8"/>
      <c r="C7" s="33">
        <f ca="1">NOW()</f>
        <v>45040.521881712964</v>
      </c>
      <c r="D7" s="8" t="s">
        <v>1</v>
      </c>
      <c r="E7" s="31">
        <v>20230400391</v>
      </c>
      <c r="G7" s="47"/>
      <c r="L7" s="5"/>
      <c r="M7" s="5"/>
    </row>
    <row r="8" spans="1:14" ht="20.100000000000001" customHeight="1" x14ac:dyDescent="0.25">
      <c r="A8" s="10"/>
      <c r="B8" s="10"/>
      <c r="C8" s="10"/>
      <c r="D8" s="10"/>
      <c r="E8" s="10"/>
      <c r="L8" s="5"/>
      <c r="M8" s="5"/>
    </row>
    <row r="9" spans="1:14" ht="20.100000000000001" customHeight="1" x14ac:dyDescent="0.2">
      <c r="A9" s="8" t="s">
        <v>2</v>
      </c>
      <c r="B9" s="8"/>
      <c r="C9" s="29"/>
      <c r="D9" s="12" t="s">
        <v>3</v>
      </c>
      <c r="E9" s="27"/>
      <c r="L9" s="5"/>
      <c r="M9" s="5"/>
    </row>
    <row r="10" spans="1:14" ht="20.100000000000001" customHeight="1" x14ac:dyDescent="0.25">
      <c r="A10" s="10"/>
      <c r="B10" s="10"/>
      <c r="C10" s="10"/>
      <c r="D10" s="10"/>
      <c r="E10" s="10"/>
      <c r="L10" s="5"/>
      <c r="M10" s="5"/>
    </row>
    <row r="11" spans="1:14" ht="20.100000000000001" customHeight="1" x14ac:dyDescent="0.2">
      <c r="A11" s="94" t="s">
        <v>22</v>
      </c>
      <c r="B11" s="95"/>
      <c r="C11" s="11"/>
      <c r="D11" s="12" t="s">
        <v>23</v>
      </c>
      <c r="E11" s="30" t="s">
        <v>32</v>
      </c>
      <c r="L11" s="5"/>
      <c r="M11" s="5"/>
    </row>
    <row r="12" spans="1:14" ht="20.100000000000001" customHeight="1" x14ac:dyDescent="0.25">
      <c r="A12" s="10"/>
      <c r="B12" s="10"/>
      <c r="C12" s="10"/>
      <c r="D12" s="10"/>
      <c r="E12" s="10"/>
      <c r="L12" s="5"/>
      <c r="M12" s="5"/>
    </row>
    <row r="13" spans="1:14" ht="20.100000000000001" customHeight="1" x14ac:dyDescent="0.2">
      <c r="A13" s="8" t="s">
        <v>4</v>
      </c>
      <c r="B13" s="8"/>
      <c r="C13" s="13"/>
      <c r="D13" s="12" t="s">
        <v>5</v>
      </c>
      <c r="E13" s="11" t="s">
        <v>28</v>
      </c>
      <c r="L13" s="5"/>
      <c r="M13" s="5"/>
    </row>
    <row r="14" spans="1:14" ht="20.100000000000001" customHeight="1" x14ac:dyDescent="0.25">
      <c r="A14" s="10"/>
      <c r="B14" s="10"/>
      <c r="C14" s="10"/>
      <c r="D14" s="10"/>
      <c r="E14" s="10"/>
      <c r="L14" s="5"/>
      <c r="M14" s="5"/>
    </row>
    <row r="15" spans="1:14" ht="20.100000000000001" customHeight="1" x14ac:dyDescent="0.2">
      <c r="A15" s="8" t="s">
        <v>6</v>
      </c>
      <c r="B15" s="8"/>
      <c r="C15" s="9"/>
      <c r="D15" s="12" t="s">
        <v>7</v>
      </c>
      <c r="E15" s="14" t="s">
        <v>81</v>
      </c>
      <c r="L15" s="5"/>
      <c r="M15" s="5"/>
    </row>
    <row r="16" spans="1:14" ht="20.100000000000001" customHeight="1" x14ac:dyDescent="0.25">
      <c r="A16" s="10"/>
      <c r="B16" s="10"/>
      <c r="C16" s="10"/>
      <c r="D16" s="10"/>
      <c r="E16" s="10"/>
      <c r="L16" s="5"/>
      <c r="M16" s="5"/>
    </row>
    <row r="17" spans="1:13" ht="20.100000000000001" customHeight="1" x14ac:dyDescent="0.2">
      <c r="A17" s="8" t="s">
        <v>8</v>
      </c>
      <c r="B17" s="8"/>
      <c r="C17" s="11"/>
      <c r="D17" s="15"/>
      <c r="E17" s="16"/>
      <c r="L17" s="5"/>
      <c r="M17" s="5"/>
    </row>
    <row r="18" spans="1:13" ht="20.100000000000001" customHeight="1" x14ac:dyDescent="0.25">
      <c r="A18" s="10"/>
      <c r="B18" s="10"/>
      <c r="C18" s="10"/>
      <c r="D18" s="10"/>
      <c r="E18" s="10"/>
      <c r="L18" s="5"/>
      <c r="M18" s="5"/>
    </row>
    <row r="19" spans="1:13" ht="20.100000000000001" customHeight="1" x14ac:dyDescent="0.2">
      <c r="A19" s="8" t="s">
        <v>9</v>
      </c>
      <c r="B19" s="8"/>
      <c r="C19" s="11"/>
      <c r="D19" s="12" t="s">
        <v>20</v>
      </c>
      <c r="E19" s="14"/>
      <c r="L19" s="5"/>
      <c r="M19" s="5"/>
    </row>
    <row r="20" spans="1:13" ht="20.100000000000001" customHeight="1" x14ac:dyDescent="0.25">
      <c r="A20" s="10"/>
      <c r="B20" s="10"/>
      <c r="C20" s="10"/>
      <c r="D20" s="10"/>
      <c r="E20" s="10"/>
      <c r="L20" s="5"/>
      <c r="M20" s="5"/>
    </row>
    <row r="21" spans="1:13" ht="20.100000000000001" customHeight="1" x14ac:dyDescent="0.2">
      <c r="A21" s="8" t="s">
        <v>21</v>
      </c>
      <c r="B21" s="8"/>
      <c r="C21" s="28"/>
      <c r="D21" s="18"/>
      <c r="E21" s="19"/>
      <c r="L21" s="5"/>
      <c r="M21" s="5"/>
    </row>
    <row r="22" spans="1:13" ht="20.100000000000001" customHeight="1" x14ac:dyDescent="0.2">
      <c r="A22" s="20"/>
      <c r="B22" s="21"/>
      <c r="C22" s="20"/>
      <c r="D22" s="20"/>
      <c r="E22" s="20"/>
      <c r="G22" s="17"/>
    </row>
    <row r="23" spans="1:13" ht="20.100000000000001" customHeight="1" x14ac:dyDescent="0.2">
      <c r="A23" s="22" t="s">
        <v>10</v>
      </c>
      <c r="B23" s="22" t="s">
        <v>11</v>
      </c>
      <c r="C23" s="22" t="s">
        <v>12</v>
      </c>
      <c r="D23" s="22" t="s">
        <v>13</v>
      </c>
      <c r="E23" s="22" t="s">
        <v>14</v>
      </c>
      <c r="G23" s="17"/>
    </row>
    <row r="24" spans="1:13" ht="20.100000000000001" customHeight="1" x14ac:dyDescent="0.2">
      <c r="A24" s="56" t="s">
        <v>44</v>
      </c>
      <c r="B24" s="56">
        <v>200417124</v>
      </c>
      <c r="C24" s="57" t="s">
        <v>45</v>
      </c>
      <c r="D24" s="58">
        <v>1</v>
      </c>
      <c r="E24" s="32"/>
      <c r="G24" s="17"/>
    </row>
    <row r="25" spans="1:13" ht="20.100000000000001" customHeight="1" x14ac:dyDescent="0.2">
      <c r="A25" s="59" t="s">
        <v>46</v>
      </c>
      <c r="B25" s="59">
        <v>220344872</v>
      </c>
      <c r="C25" s="60" t="s">
        <v>47</v>
      </c>
      <c r="D25" s="58">
        <v>1</v>
      </c>
      <c r="E25" s="32"/>
      <c r="G25" s="17"/>
    </row>
    <row r="26" spans="1:13" ht="20.100000000000001" customHeight="1" x14ac:dyDescent="0.2">
      <c r="A26" s="56" t="s">
        <v>48</v>
      </c>
      <c r="B26" s="56">
        <v>201022740</v>
      </c>
      <c r="C26" s="57" t="s">
        <v>49</v>
      </c>
      <c r="D26" s="58">
        <v>1</v>
      </c>
      <c r="E26" s="32"/>
      <c r="G26" s="17"/>
    </row>
    <row r="27" spans="1:13" ht="20.100000000000001" customHeight="1" x14ac:dyDescent="0.2">
      <c r="A27" s="59" t="s">
        <v>320</v>
      </c>
      <c r="B27" s="59">
        <v>200113776</v>
      </c>
      <c r="C27" s="60" t="s">
        <v>50</v>
      </c>
      <c r="D27" s="58">
        <v>1</v>
      </c>
      <c r="E27" s="32"/>
      <c r="G27" s="17"/>
    </row>
    <row r="28" spans="1:13" ht="20.100000000000001" customHeight="1" x14ac:dyDescent="0.2">
      <c r="A28" s="56" t="s">
        <v>51</v>
      </c>
      <c r="B28" s="56">
        <v>200417128</v>
      </c>
      <c r="C28" s="57" t="s">
        <v>52</v>
      </c>
      <c r="D28" s="58">
        <v>1</v>
      </c>
      <c r="E28" s="32"/>
      <c r="G28" s="17"/>
    </row>
    <row r="29" spans="1:13" ht="20.100000000000001" customHeight="1" x14ac:dyDescent="0.2">
      <c r="A29" s="59" t="s">
        <v>53</v>
      </c>
      <c r="B29" s="59">
        <v>200113778</v>
      </c>
      <c r="C29" s="60" t="s">
        <v>54</v>
      </c>
      <c r="D29" s="58">
        <v>1</v>
      </c>
      <c r="E29" s="32"/>
      <c r="G29" s="17"/>
    </row>
    <row r="30" spans="1:13" ht="20.100000000000001" customHeight="1" x14ac:dyDescent="0.2">
      <c r="A30" s="56" t="s">
        <v>55</v>
      </c>
      <c r="B30" s="56">
        <v>200113778</v>
      </c>
      <c r="C30" s="57" t="s">
        <v>56</v>
      </c>
      <c r="D30" s="58">
        <v>1</v>
      </c>
      <c r="E30" s="32"/>
      <c r="G30" s="17"/>
    </row>
    <row r="31" spans="1:13" ht="20.100000000000001" customHeight="1" x14ac:dyDescent="0.2">
      <c r="A31" s="59" t="s">
        <v>57</v>
      </c>
      <c r="B31" s="59">
        <v>190603096</v>
      </c>
      <c r="C31" s="60" t="s">
        <v>58</v>
      </c>
      <c r="D31" s="58">
        <v>0</v>
      </c>
      <c r="E31" s="32"/>
      <c r="G31" s="17"/>
    </row>
    <row r="32" spans="1:13" ht="20.100000000000001" customHeight="1" x14ac:dyDescent="0.2">
      <c r="A32" s="56" t="s">
        <v>59</v>
      </c>
      <c r="B32" s="56">
        <v>200113778</v>
      </c>
      <c r="C32" s="57" t="s">
        <v>60</v>
      </c>
      <c r="D32" s="58">
        <v>1</v>
      </c>
      <c r="E32" s="32"/>
      <c r="G32" s="17"/>
    </row>
    <row r="33" spans="1:7" ht="20.100000000000001" customHeight="1" x14ac:dyDescent="0.25">
      <c r="A33" s="61"/>
      <c r="B33" s="61" t="s">
        <v>321</v>
      </c>
      <c r="C33" s="62"/>
      <c r="D33" s="63">
        <f>SUM(D24:D32)</f>
        <v>8</v>
      </c>
      <c r="E33" s="32"/>
      <c r="G33" s="17"/>
    </row>
    <row r="34" spans="1:7" ht="20.100000000000001" customHeight="1" x14ac:dyDescent="0.2">
      <c r="A34" s="59" t="s">
        <v>61</v>
      </c>
      <c r="B34" s="59">
        <v>210329513</v>
      </c>
      <c r="C34" s="60" t="s">
        <v>62</v>
      </c>
      <c r="D34" s="58">
        <v>1</v>
      </c>
      <c r="E34" s="32"/>
      <c r="G34" s="17"/>
    </row>
    <row r="35" spans="1:7" ht="20.100000000000001" customHeight="1" x14ac:dyDescent="0.2">
      <c r="A35" s="56" t="s">
        <v>63</v>
      </c>
      <c r="B35" s="56">
        <v>211240753</v>
      </c>
      <c r="C35" s="57" t="s">
        <v>64</v>
      </c>
      <c r="D35" s="58">
        <v>1</v>
      </c>
      <c r="E35" s="32"/>
      <c r="G35" s="17"/>
    </row>
    <row r="36" spans="1:7" ht="20.100000000000001" customHeight="1" x14ac:dyDescent="0.2">
      <c r="A36" s="59" t="s">
        <v>65</v>
      </c>
      <c r="B36" s="59">
        <v>200619098</v>
      </c>
      <c r="C36" s="60" t="s">
        <v>66</v>
      </c>
      <c r="D36" s="58">
        <v>1</v>
      </c>
      <c r="E36" s="32"/>
      <c r="G36" s="17"/>
    </row>
    <row r="37" spans="1:7" ht="20.100000000000001" customHeight="1" x14ac:dyDescent="0.2">
      <c r="A37" s="56" t="s">
        <v>67</v>
      </c>
      <c r="B37" s="56">
        <v>200113775</v>
      </c>
      <c r="C37" s="57" t="s">
        <v>68</v>
      </c>
      <c r="D37" s="58">
        <v>1</v>
      </c>
      <c r="E37" s="32"/>
      <c r="G37" s="17"/>
    </row>
    <row r="38" spans="1:7" ht="20.100000000000001" customHeight="1" x14ac:dyDescent="0.2">
      <c r="A38" s="59" t="s">
        <v>69</v>
      </c>
      <c r="B38" s="59">
        <v>201022742</v>
      </c>
      <c r="C38" s="60" t="s">
        <v>70</v>
      </c>
      <c r="D38" s="58">
        <v>1</v>
      </c>
      <c r="E38" s="32"/>
      <c r="G38" s="17"/>
    </row>
    <row r="39" spans="1:7" ht="21.75" customHeight="1" x14ac:dyDescent="0.2">
      <c r="A39" s="56" t="s">
        <v>71</v>
      </c>
      <c r="B39" s="56">
        <v>200113777</v>
      </c>
      <c r="C39" s="57" t="s">
        <v>72</v>
      </c>
      <c r="D39" s="58">
        <v>1</v>
      </c>
      <c r="E39" s="32"/>
      <c r="G39" s="17"/>
    </row>
    <row r="40" spans="1:7" ht="22.5" customHeight="1" x14ac:dyDescent="0.2">
      <c r="A40" s="59" t="s">
        <v>73</v>
      </c>
      <c r="B40" s="59">
        <v>200113777</v>
      </c>
      <c r="C40" s="60" t="s">
        <v>74</v>
      </c>
      <c r="D40" s="58">
        <v>1</v>
      </c>
      <c r="E40" s="32"/>
      <c r="G40" s="17"/>
    </row>
    <row r="41" spans="1:7" ht="20.100000000000001" customHeight="1" x14ac:dyDescent="0.2">
      <c r="A41" s="56" t="s">
        <v>75</v>
      </c>
      <c r="B41" s="56">
        <v>190906682</v>
      </c>
      <c r="C41" s="57" t="s">
        <v>76</v>
      </c>
      <c r="D41" s="58">
        <v>1</v>
      </c>
      <c r="E41" s="32"/>
      <c r="G41" s="17"/>
    </row>
    <row r="42" spans="1:7" ht="20.100000000000001" customHeight="1" x14ac:dyDescent="0.2">
      <c r="A42" s="59" t="s">
        <v>77</v>
      </c>
      <c r="B42" s="59">
        <v>200113772</v>
      </c>
      <c r="C42" s="60" t="s">
        <v>78</v>
      </c>
      <c r="D42" s="58">
        <v>1</v>
      </c>
      <c r="E42" s="32"/>
      <c r="G42" s="17"/>
    </row>
    <row r="43" spans="1:7" ht="20.100000000000001" customHeight="1" x14ac:dyDescent="0.2">
      <c r="A43" s="56" t="s">
        <v>79</v>
      </c>
      <c r="B43" s="56">
        <v>200113772</v>
      </c>
      <c r="C43" s="57" t="s">
        <v>80</v>
      </c>
      <c r="D43" s="58">
        <v>0</v>
      </c>
      <c r="E43" s="32"/>
      <c r="G43" s="17"/>
    </row>
    <row r="44" spans="1:7" ht="20.100000000000001" customHeight="1" x14ac:dyDescent="0.25">
      <c r="A44" s="61"/>
      <c r="B44" s="61" t="s">
        <v>321</v>
      </c>
      <c r="C44" s="62"/>
      <c r="D44" s="63">
        <f>SUM(D34:D43)</f>
        <v>9</v>
      </c>
      <c r="E44" s="32"/>
      <c r="G44" s="17"/>
    </row>
    <row r="45" spans="1:7" s="47" customFormat="1" ht="20.100000000000001" customHeight="1" x14ac:dyDescent="0.2">
      <c r="A45" s="44" t="s">
        <v>112</v>
      </c>
      <c r="B45" s="44" t="s">
        <v>232</v>
      </c>
      <c r="C45" s="45" t="s">
        <v>233</v>
      </c>
      <c r="D45" s="37">
        <v>5</v>
      </c>
      <c r="E45" s="32"/>
      <c r="G45" s="48"/>
    </row>
    <row r="46" spans="1:7" s="47" customFormat="1" ht="20.100000000000001" customHeight="1" x14ac:dyDescent="0.2">
      <c r="A46" s="61" t="s">
        <v>113</v>
      </c>
      <c r="B46" s="61" t="s">
        <v>234</v>
      </c>
      <c r="C46" s="62" t="s">
        <v>235</v>
      </c>
      <c r="D46" s="37">
        <v>5</v>
      </c>
      <c r="E46" s="32"/>
      <c r="G46" s="48"/>
    </row>
    <row r="47" spans="1:7" s="47" customFormat="1" ht="20.100000000000001" customHeight="1" x14ac:dyDescent="0.2">
      <c r="A47" s="44" t="s">
        <v>114</v>
      </c>
      <c r="B47" s="44" t="s">
        <v>236</v>
      </c>
      <c r="C47" s="45" t="s">
        <v>237</v>
      </c>
      <c r="D47" s="37">
        <v>5</v>
      </c>
      <c r="E47" s="32"/>
      <c r="G47" s="48"/>
    </row>
    <row r="48" spans="1:7" s="47" customFormat="1" ht="20.100000000000001" customHeight="1" x14ac:dyDescent="0.2">
      <c r="A48" s="61" t="s">
        <v>115</v>
      </c>
      <c r="B48" s="61" t="s">
        <v>238</v>
      </c>
      <c r="C48" s="62" t="s">
        <v>239</v>
      </c>
      <c r="D48" s="37">
        <v>5</v>
      </c>
      <c r="E48" s="32"/>
      <c r="G48" s="48"/>
    </row>
    <row r="49" spans="1:7" s="47" customFormat="1" ht="20.100000000000001" customHeight="1" x14ac:dyDescent="0.2">
      <c r="A49" s="70" t="s">
        <v>116</v>
      </c>
      <c r="B49" s="70" t="s">
        <v>240</v>
      </c>
      <c r="C49" s="71" t="s">
        <v>241</v>
      </c>
      <c r="D49" s="37">
        <v>10</v>
      </c>
      <c r="E49" s="32"/>
      <c r="G49" s="48"/>
    </row>
    <row r="50" spans="1:7" s="47" customFormat="1" ht="20.100000000000001" customHeight="1" x14ac:dyDescent="0.2">
      <c r="A50" s="61" t="s">
        <v>117</v>
      </c>
      <c r="B50" s="61" t="s">
        <v>242</v>
      </c>
      <c r="C50" s="62" t="s">
        <v>243</v>
      </c>
      <c r="D50" s="37">
        <v>10</v>
      </c>
      <c r="E50" s="32"/>
      <c r="G50" s="48"/>
    </row>
    <row r="51" spans="1:7" s="47" customFormat="1" ht="20.100000000000001" customHeight="1" x14ac:dyDescent="0.2">
      <c r="A51" s="44" t="s">
        <v>118</v>
      </c>
      <c r="B51" s="44" t="s">
        <v>244</v>
      </c>
      <c r="C51" s="45" t="s">
        <v>245</v>
      </c>
      <c r="D51" s="37">
        <v>10</v>
      </c>
      <c r="E51" s="32"/>
      <c r="G51" s="48"/>
    </row>
    <row r="52" spans="1:7" s="47" customFormat="1" ht="20.100000000000001" customHeight="1" x14ac:dyDescent="0.2">
      <c r="A52" s="61" t="s">
        <v>119</v>
      </c>
      <c r="B52" s="61" t="s">
        <v>246</v>
      </c>
      <c r="C52" s="62" t="s">
        <v>247</v>
      </c>
      <c r="D52" s="37">
        <v>10</v>
      </c>
      <c r="E52" s="32"/>
      <c r="G52" s="48"/>
    </row>
    <row r="53" spans="1:7" s="47" customFormat="1" ht="20.100000000000001" customHeight="1" x14ac:dyDescent="0.2">
      <c r="A53" s="44" t="s">
        <v>120</v>
      </c>
      <c r="B53" s="44" t="s">
        <v>248</v>
      </c>
      <c r="C53" s="45" t="s">
        <v>249</v>
      </c>
      <c r="D53" s="37">
        <v>10</v>
      </c>
      <c r="E53" s="32"/>
      <c r="G53" s="48"/>
    </row>
    <row r="54" spans="1:7" s="47" customFormat="1" ht="20.100000000000001" customHeight="1" x14ac:dyDescent="0.2">
      <c r="A54" s="61" t="s">
        <v>121</v>
      </c>
      <c r="B54" s="61" t="s">
        <v>250</v>
      </c>
      <c r="C54" s="62" t="s">
        <v>251</v>
      </c>
      <c r="D54" s="37">
        <v>10</v>
      </c>
      <c r="E54" s="32"/>
      <c r="G54" s="48"/>
    </row>
    <row r="55" spans="1:7" s="47" customFormat="1" ht="20.100000000000001" customHeight="1" x14ac:dyDescent="0.2">
      <c r="A55" s="44" t="s">
        <v>122</v>
      </c>
      <c r="B55" s="44" t="s">
        <v>252</v>
      </c>
      <c r="C55" s="45" t="s">
        <v>253</v>
      </c>
      <c r="D55" s="37">
        <v>10</v>
      </c>
      <c r="E55" s="32"/>
      <c r="G55" s="48"/>
    </row>
    <row r="56" spans="1:7" s="47" customFormat="1" ht="20.100000000000001" customHeight="1" x14ac:dyDescent="0.2">
      <c r="A56" s="61" t="s">
        <v>123</v>
      </c>
      <c r="B56" s="61" t="s">
        <v>254</v>
      </c>
      <c r="C56" s="62" t="s">
        <v>255</v>
      </c>
      <c r="D56" s="37">
        <v>5</v>
      </c>
      <c r="E56" s="32"/>
      <c r="G56" s="48"/>
    </row>
    <row r="57" spans="1:7" s="47" customFormat="1" ht="20.100000000000001" customHeight="1" x14ac:dyDescent="0.2">
      <c r="A57" s="44" t="s">
        <v>124</v>
      </c>
      <c r="B57" s="44" t="s">
        <v>256</v>
      </c>
      <c r="C57" s="45" t="s">
        <v>257</v>
      </c>
      <c r="D57" s="37">
        <v>5</v>
      </c>
      <c r="E57" s="32"/>
      <c r="G57" s="48"/>
    </row>
    <row r="58" spans="1:7" s="47" customFormat="1" ht="20.100000000000001" customHeight="1" x14ac:dyDescent="0.2">
      <c r="A58" s="72" t="s">
        <v>125</v>
      </c>
      <c r="B58" s="72" t="s">
        <v>256</v>
      </c>
      <c r="C58" s="82" t="s">
        <v>258</v>
      </c>
      <c r="D58" s="37">
        <v>5</v>
      </c>
      <c r="E58" s="32"/>
      <c r="G58" s="48"/>
    </row>
    <row r="59" spans="1:7" s="47" customFormat="1" ht="20.100000000000001" customHeight="1" x14ac:dyDescent="0.2">
      <c r="A59" s="44" t="s">
        <v>126</v>
      </c>
      <c r="B59" s="44" t="s">
        <v>256</v>
      </c>
      <c r="C59" s="45" t="s">
        <v>259</v>
      </c>
      <c r="D59" s="37">
        <v>5</v>
      </c>
      <c r="E59" s="32"/>
      <c r="G59" s="48"/>
    </row>
    <row r="60" spans="1:7" s="47" customFormat="1" ht="20.100000000000001" customHeight="1" x14ac:dyDescent="0.2">
      <c r="A60" s="73" t="s">
        <v>127</v>
      </c>
      <c r="B60" s="73" t="s">
        <v>256</v>
      </c>
      <c r="C60" s="74" t="s">
        <v>322</v>
      </c>
      <c r="D60" s="37">
        <v>2</v>
      </c>
      <c r="E60" s="32"/>
      <c r="G60" s="48"/>
    </row>
    <row r="61" spans="1:7" s="47" customFormat="1" ht="20.100000000000001" customHeight="1" x14ac:dyDescent="0.2">
      <c r="A61" s="44" t="s">
        <v>128</v>
      </c>
      <c r="B61" s="44" t="s">
        <v>256</v>
      </c>
      <c r="C61" s="45" t="s">
        <v>260</v>
      </c>
      <c r="D61" s="37">
        <v>5</v>
      </c>
      <c r="E61" s="32"/>
      <c r="G61" s="48"/>
    </row>
    <row r="62" spans="1:7" s="47" customFormat="1" ht="20.100000000000001" customHeight="1" x14ac:dyDescent="0.2">
      <c r="A62" s="73" t="s">
        <v>129</v>
      </c>
      <c r="B62" s="73" t="s">
        <v>256</v>
      </c>
      <c r="C62" s="74" t="s">
        <v>323</v>
      </c>
      <c r="D62" s="37">
        <v>3</v>
      </c>
      <c r="E62" s="32"/>
      <c r="G62" s="48"/>
    </row>
    <row r="63" spans="1:7" s="47" customFormat="1" ht="20.100000000000001" customHeight="1" x14ac:dyDescent="0.2">
      <c r="A63" s="44" t="s">
        <v>130</v>
      </c>
      <c r="B63" s="44" t="s">
        <v>256</v>
      </c>
      <c r="C63" s="45" t="s">
        <v>261</v>
      </c>
      <c r="D63" s="37">
        <v>5</v>
      </c>
      <c r="E63" s="32"/>
      <c r="G63" s="48"/>
    </row>
    <row r="64" spans="1:7" s="47" customFormat="1" ht="20.100000000000001" customHeight="1" x14ac:dyDescent="0.2">
      <c r="A64" s="61" t="s">
        <v>131</v>
      </c>
      <c r="B64" s="61" t="s">
        <v>256</v>
      </c>
      <c r="C64" s="62" t="s">
        <v>262</v>
      </c>
      <c r="D64" s="37">
        <v>5</v>
      </c>
      <c r="E64" s="32"/>
      <c r="G64" s="48"/>
    </row>
    <row r="65" spans="1:7" s="47" customFormat="1" ht="20.100000000000001" customHeight="1" x14ac:dyDescent="0.2">
      <c r="A65" s="44" t="s">
        <v>132</v>
      </c>
      <c r="B65" s="44" t="s">
        <v>256</v>
      </c>
      <c r="C65" s="45" t="s">
        <v>263</v>
      </c>
      <c r="D65" s="37">
        <v>5</v>
      </c>
      <c r="E65" s="32"/>
      <c r="G65" s="48"/>
    </row>
    <row r="66" spans="1:7" s="47" customFormat="1" ht="20.100000000000001" customHeight="1" x14ac:dyDescent="0.2">
      <c r="A66" s="44" t="s">
        <v>133</v>
      </c>
      <c r="B66" s="44" t="s">
        <v>256</v>
      </c>
      <c r="C66" s="45" t="s">
        <v>264</v>
      </c>
      <c r="D66" s="37">
        <v>5</v>
      </c>
      <c r="E66" s="32"/>
      <c r="G66" s="48"/>
    </row>
    <row r="67" spans="1:7" s="47" customFormat="1" ht="20.100000000000001" customHeight="1" x14ac:dyDescent="0.2">
      <c r="A67" s="61" t="s">
        <v>134</v>
      </c>
      <c r="B67" s="61" t="s">
        <v>256</v>
      </c>
      <c r="C67" s="62" t="s">
        <v>265</v>
      </c>
      <c r="D67" s="37">
        <v>5</v>
      </c>
      <c r="E67" s="32"/>
      <c r="G67" s="48"/>
    </row>
    <row r="68" spans="1:7" s="47" customFormat="1" ht="20.100000000000001" customHeight="1" x14ac:dyDescent="0.2">
      <c r="A68" s="44" t="s">
        <v>135</v>
      </c>
      <c r="B68" s="44" t="s">
        <v>256</v>
      </c>
      <c r="C68" s="45" t="s">
        <v>266</v>
      </c>
      <c r="D68" s="37">
        <v>5</v>
      </c>
      <c r="E68" s="32"/>
      <c r="G68" s="48"/>
    </row>
    <row r="69" spans="1:7" s="47" customFormat="1" ht="20.100000000000001" customHeight="1" x14ac:dyDescent="0.2">
      <c r="A69" s="72" t="s">
        <v>136</v>
      </c>
      <c r="B69" s="72" t="s">
        <v>256</v>
      </c>
      <c r="C69" s="82" t="s">
        <v>267</v>
      </c>
      <c r="D69" s="37">
        <v>5</v>
      </c>
      <c r="E69" s="32"/>
      <c r="G69" s="48"/>
    </row>
    <row r="70" spans="1:7" s="47" customFormat="1" ht="20.100000000000001" customHeight="1" x14ac:dyDescent="0.2">
      <c r="A70" s="75" t="s">
        <v>137</v>
      </c>
      <c r="B70" s="59">
        <v>200112179</v>
      </c>
      <c r="C70" s="62" t="s">
        <v>324</v>
      </c>
      <c r="D70" s="37">
        <v>0</v>
      </c>
      <c r="E70" s="32"/>
      <c r="G70" s="48"/>
    </row>
    <row r="71" spans="1:7" s="47" customFormat="1" ht="20.100000000000001" customHeight="1" x14ac:dyDescent="0.25">
      <c r="A71" s="51"/>
      <c r="B71" s="52"/>
      <c r="C71" s="53"/>
      <c r="D71" s="54">
        <f>SUM(D45:D70)</f>
        <v>155</v>
      </c>
      <c r="E71" s="32"/>
      <c r="G71" s="48"/>
    </row>
    <row r="72" spans="1:7" s="47" customFormat="1" ht="20.100000000000001" customHeight="1" x14ac:dyDescent="0.2">
      <c r="A72" s="44" t="s">
        <v>138</v>
      </c>
      <c r="B72" s="44" t="s">
        <v>139</v>
      </c>
      <c r="C72" s="62" t="s">
        <v>268</v>
      </c>
      <c r="D72" s="37">
        <v>5</v>
      </c>
      <c r="E72" s="32"/>
      <c r="G72" s="48"/>
    </row>
    <row r="73" spans="1:7" s="47" customFormat="1" ht="20.100000000000001" customHeight="1" x14ac:dyDescent="0.2">
      <c r="A73" s="61" t="s">
        <v>347</v>
      </c>
      <c r="B73" s="61" t="s">
        <v>140</v>
      </c>
      <c r="C73" s="45" t="s">
        <v>348</v>
      </c>
      <c r="D73" s="37">
        <v>5</v>
      </c>
      <c r="E73" s="32"/>
      <c r="G73" s="48"/>
    </row>
    <row r="74" spans="1:7" s="47" customFormat="1" ht="20.100000000000001" customHeight="1" x14ac:dyDescent="0.2">
      <c r="A74" s="44" t="s">
        <v>141</v>
      </c>
      <c r="B74" s="44" t="s">
        <v>142</v>
      </c>
      <c r="C74" s="62" t="s">
        <v>269</v>
      </c>
      <c r="D74" s="37">
        <v>5</v>
      </c>
      <c r="E74" s="32"/>
      <c r="G74" s="48"/>
    </row>
    <row r="75" spans="1:7" s="47" customFormat="1" ht="20.100000000000001" customHeight="1" x14ac:dyDescent="0.2">
      <c r="A75" s="61" t="s">
        <v>143</v>
      </c>
      <c r="B75" s="61" t="s">
        <v>153</v>
      </c>
      <c r="C75" s="45" t="s">
        <v>270</v>
      </c>
      <c r="D75" s="37">
        <v>5</v>
      </c>
      <c r="E75" s="32"/>
      <c r="G75" s="48"/>
    </row>
    <row r="76" spans="1:7" s="47" customFormat="1" ht="20.100000000000001" customHeight="1" x14ac:dyDescent="0.2">
      <c r="A76" s="44" t="s">
        <v>144</v>
      </c>
      <c r="B76" s="44" t="s">
        <v>145</v>
      </c>
      <c r="C76" s="62" t="s">
        <v>271</v>
      </c>
      <c r="D76" s="37">
        <v>10</v>
      </c>
      <c r="E76" s="32"/>
      <c r="G76" s="48"/>
    </row>
    <row r="77" spans="1:7" s="47" customFormat="1" ht="20.100000000000001" customHeight="1" x14ac:dyDescent="0.2">
      <c r="A77" s="61" t="s">
        <v>146</v>
      </c>
      <c r="B77" s="61" t="s">
        <v>147</v>
      </c>
      <c r="C77" s="45" t="s">
        <v>272</v>
      </c>
      <c r="D77" s="37">
        <v>10</v>
      </c>
      <c r="E77" s="32"/>
      <c r="G77" s="48"/>
    </row>
    <row r="78" spans="1:7" s="47" customFormat="1" ht="20.100000000000001" customHeight="1" x14ac:dyDescent="0.2">
      <c r="A78" s="44" t="s">
        <v>148</v>
      </c>
      <c r="B78" s="44" t="s">
        <v>149</v>
      </c>
      <c r="C78" s="62" t="s">
        <v>273</v>
      </c>
      <c r="D78" s="37">
        <v>10</v>
      </c>
      <c r="E78" s="32"/>
      <c r="G78" s="48"/>
    </row>
    <row r="79" spans="1:7" s="47" customFormat="1" ht="20.100000000000001" customHeight="1" x14ac:dyDescent="0.2">
      <c r="A79" s="61" t="s">
        <v>150</v>
      </c>
      <c r="B79" s="61" t="s">
        <v>151</v>
      </c>
      <c r="C79" s="45" t="s">
        <v>274</v>
      </c>
      <c r="D79" s="37">
        <v>10</v>
      </c>
      <c r="E79" s="32"/>
      <c r="G79" s="48"/>
    </row>
    <row r="80" spans="1:7" s="47" customFormat="1" ht="20.100000000000001" customHeight="1" x14ac:dyDescent="0.2">
      <c r="A80" s="44" t="s">
        <v>152</v>
      </c>
      <c r="B80" s="44" t="s">
        <v>153</v>
      </c>
      <c r="C80" s="62" t="s">
        <v>275</v>
      </c>
      <c r="D80" s="37">
        <v>10</v>
      </c>
      <c r="E80" s="32"/>
      <c r="G80" s="48"/>
    </row>
    <row r="81" spans="1:7" s="47" customFormat="1" ht="20.100000000000001" customHeight="1" x14ac:dyDescent="0.2">
      <c r="A81" s="61" t="s">
        <v>154</v>
      </c>
      <c r="B81" s="61" t="s">
        <v>276</v>
      </c>
      <c r="C81" s="45" t="s">
        <v>277</v>
      </c>
      <c r="D81" s="37">
        <v>10</v>
      </c>
      <c r="E81" s="32"/>
      <c r="G81" s="48"/>
    </row>
    <row r="82" spans="1:7" s="47" customFormat="1" ht="20.100000000000001" customHeight="1" x14ac:dyDescent="0.2">
      <c r="A82" s="44" t="s">
        <v>155</v>
      </c>
      <c r="B82" s="44" t="s">
        <v>139</v>
      </c>
      <c r="C82" s="62" t="s">
        <v>278</v>
      </c>
      <c r="D82" s="37">
        <v>10</v>
      </c>
      <c r="E82" s="32"/>
      <c r="G82" s="48"/>
    </row>
    <row r="83" spans="1:7" s="47" customFormat="1" ht="20.100000000000001" customHeight="1" x14ac:dyDescent="0.2">
      <c r="A83" s="61" t="s">
        <v>156</v>
      </c>
      <c r="B83" s="61" t="s">
        <v>140</v>
      </c>
      <c r="C83" s="45" t="s">
        <v>279</v>
      </c>
      <c r="D83" s="37">
        <v>5</v>
      </c>
      <c r="E83" s="32"/>
      <c r="G83" s="48"/>
    </row>
    <row r="84" spans="1:7" s="47" customFormat="1" ht="20.100000000000001" customHeight="1" x14ac:dyDescent="0.2">
      <c r="A84" s="44" t="s">
        <v>157</v>
      </c>
      <c r="B84" s="44" t="s">
        <v>142</v>
      </c>
      <c r="C84" s="62" t="s">
        <v>280</v>
      </c>
      <c r="D84" s="37">
        <v>5</v>
      </c>
      <c r="E84" s="32"/>
      <c r="G84" s="48"/>
    </row>
    <row r="85" spans="1:7" s="47" customFormat="1" ht="20.100000000000001" customHeight="1" x14ac:dyDescent="0.2">
      <c r="A85" s="61" t="s">
        <v>158</v>
      </c>
      <c r="B85" s="61" t="s">
        <v>159</v>
      </c>
      <c r="C85" s="45" t="s">
        <v>281</v>
      </c>
      <c r="D85" s="37">
        <v>5</v>
      </c>
      <c r="E85" s="32"/>
      <c r="G85" s="48"/>
    </row>
    <row r="86" spans="1:7" s="47" customFormat="1" ht="20.100000000000001" customHeight="1" x14ac:dyDescent="0.2">
      <c r="A86" s="44" t="s">
        <v>160</v>
      </c>
      <c r="B86" s="44" t="s">
        <v>161</v>
      </c>
      <c r="C86" s="62" t="s">
        <v>282</v>
      </c>
      <c r="D86" s="37">
        <v>5</v>
      </c>
      <c r="E86" s="32"/>
      <c r="G86" s="48"/>
    </row>
    <row r="87" spans="1:7" s="47" customFormat="1" ht="20.100000000000001" customHeight="1" x14ac:dyDescent="0.2">
      <c r="A87" s="61" t="s">
        <v>162</v>
      </c>
      <c r="B87" s="61" t="s">
        <v>147</v>
      </c>
      <c r="C87" s="45" t="s">
        <v>283</v>
      </c>
      <c r="D87" s="37">
        <v>2</v>
      </c>
      <c r="E87" s="32"/>
      <c r="G87" s="48"/>
    </row>
    <row r="88" spans="1:7" s="47" customFormat="1" ht="20.100000000000001" customHeight="1" x14ac:dyDescent="0.2">
      <c r="A88" s="44" t="s">
        <v>163</v>
      </c>
      <c r="B88" s="44" t="s">
        <v>139</v>
      </c>
      <c r="C88" s="62" t="s">
        <v>284</v>
      </c>
      <c r="D88" s="37">
        <v>5</v>
      </c>
      <c r="E88" s="32"/>
      <c r="G88" s="48"/>
    </row>
    <row r="89" spans="1:7" s="47" customFormat="1" ht="20.100000000000001" customHeight="1" x14ac:dyDescent="0.2">
      <c r="A89" s="61" t="s">
        <v>164</v>
      </c>
      <c r="B89" s="61" t="s">
        <v>151</v>
      </c>
      <c r="C89" s="45" t="s">
        <v>285</v>
      </c>
      <c r="D89" s="37">
        <v>3</v>
      </c>
      <c r="E89" s="32"/>
      <c r="G89" s="48"/>
    </row>
    <row r="90" spans="1:7" s="47" customFormat="1" ht="20.100000000000001" customHeight="1" x14ac:dyDescent="0.2">
      <c r="A90" s="44" t="s">
        <v>165</v>
      </c>
      <c r="B90" s="70" t="s">
        <v>166</v>
      </c>
      <c r="C90" s="62" t="s">
        <v>286</v>
      </c>
      <c r="D90" s="37">
        <v>5</v>
      </c>
      <c r="E90" s="32"/>
      <c r="G90" s="48"/>
    </row>
    <row r="91" spans="1:7" s="47" customFormat="1" ht="20.100000000000001" customHeight="1" x14ac:dyDescent="0.2">
      <c r="A91" s="73" t="s">
        <v>167</v>
      </c>
      <c r="B91" s="73" t="s">
        <v>139</v>
      </c>
      <c r="C91" s="71" t="s">
        <v>287</v>
      </c>
      <c r="D91" s="37">
        <v>5</v>
      </c>
      <c r="E91" s="32"/>
      <c r="G91" s="48"/>
    </row>
    <row r="92" spans="1:7" s="47" customFormat="1" ht="20.100000000000001" customHeight="1" x14ac:dyDescent="0.2">
      <c r="A92" s="44" t="s">
        <v>168</v>
      </c>
      <c r="B92" s="44" t="s">
        <v>140</v>
      </c>
      <c r="C92" s="62" t="s">
        <v>288</v>
      </c>
      <c r="D92" s="37">
        <v>5</v>
      </c>
      <c r="E92" s="32"/>
      <c r="G92" s="48"/>
    </row>
    <row r="93" spans="1:7" s="47" customFormat="1" ht="20.100000000000001" customHeight="1" x14ac:dyDescent="0.2">
      <c r="A93" s="72" t="s">
        <v>169</v>
      </c>
      <c r="B93" s="72" t="s">
        <v>142</v>
      </c>
      <c r="C93" s="45" t="s">
        <v>289</v>
      </c>
      <c r="D93" s="37">
        <v>5</v>
      </c>
      <c r="E93" s="32"/>
      <c r="G93" s="48"/>
    </row>
    <row r="94" spans="1:7" s="47" customFormat="1" ht="20.100000000000001" customHeight="1" x14ac:dyDescent="0.2">
      <c r="A94" s="44" t="s">
        <v>170</v>
      </c>
      <c r="B94" s="44" t="s">
        <v>159</v>
      </c>
      <c r="C94" s="62" t="s">
        <v>290</v>
      </c>
      <c r="D94" s="37">
        <v>5</v>
      </c>
      <c r="E94" s="32"/>
      <c r="G94" s="48"/>
    </row>
    <row r="95" spans="1:7" s="47" customFormat="1" ht="20.100000000000001" customHeight="1" x14ac:dyDescent="0.2">
      <c r="A95" s="61" t="s">
        <v>171</v>
      </c>
      <c r="B95" s="61" t="s">
        <v>161</v>
      </c>
      <c r="C95" s="45" t="s">
        <v>291</v>
      </c>
      <c r="D95" s="37">
        <v>5</v>
      </c>
      <c r="E95" s="32"/>
      <c r="G95" s="48"/>
    </row>
    <row r="96" spans="1:7" s="47" customFormat="1" ht="20.100000000000001" customHeight="1" x14ac:dyDescent="0.2">
      <c r="A96" s="44" t="s">
        <v>172</v>
      </c>
      <c r="B96" s="44" t="s">
        <v>147</v>
      </c>
      <c r="C96" s="62" t="s">
        <v>292</v>
      </c>
      <c r="D96" s="37">
        <v>5</v>
      </c>
      <c r="E96" s="32"/>
      <c r="G96" s="48"/>
    </row>
    <row r="97" spans="1:7" s="47" customFormat="1" ht="20.100000000000001" customHeight="1" x14ac:dyDescent="0.2">
      <c r="A97" s="75" t="s">
        <v>173</v>
      </c>
      <c r="B97" s="59">
        <v>190906305</v>
      </c>
      <c r="C97" s="62" t="s">
        <v>325</v>
      </c>
      <c r="D97" s="37">
        <v>0</v>
      </c>
      <c r="E97" s="32"/>
      <c r="G97" s="48"/>
    </row>
    <row r="98" spans="1:7" s="47" customFormat="1" ht="20.100000000000001" customHeight="1" x14ac:dyDescent="0.25">
      <c r="A98" s="51"/>
      <c r="B98" s="52"/>
      <c r="C98" s="53"/>
      <c r="D98" s="54">
        <f>SUM(D72:D97)</f>
        <v>155</v>
      </c>
      <c r="E98" s="32"/>
      <c r="G98" s="48"/>
    </row>
    <row r="99" spans="1:7" s="47" customFormat="1" ht="20.100000000000001" customHeight="1" x14ac:dyDescent="0.2">
      <c r="A99" s="59" t="s">
        <v>174</v>
      </c>
      <c r="B99" s="59">
        <v>190805267</v>
      </c>
      <c r="C99" s="62" t="s">
        <v>326</v>
      </c>
      <c r="D99" s="37">
        <v>2</v>
      </c>
      <c r="E99" s="32"/>
      <c r="G99" s="48"/>
    </row>
    <row r="100" spans="1:7" s="47" customFormat="1" ht="20.100000000000001" customHeight="1" x14ac:dyDescent="0.2">
      <c r="A100" s="59" t="s">
        <v>175</v>
      </c>
      <c r="B100" s="59">
        <v>190805268</v>
      </c>
      <c r="C100" s="62" t="s">
        <v>327</v>
      </c>
      <c r="D100" s="37">
        <v>1</v>
      </c>
      <c r="E100" s="32"/>
      <c r="G100" s="48"/>
    </row>
    <row r="101" spans="1:7" s="47" customFormat="1" ht="20.100000000000001" customHeight="1" x14ac:dyDescent="0.2">
      <c r="A101" s="59" t="s">
        <v>176</v>
      </c>
      <c r="B101" s="59">
        <v>190805269</v>
      </c>
      <c r="C101" s="62" t="s">
        <v>328</v>
      </c>
      <c r="D101" s="37">
        <v>2</v>
      </c>
      <c r="E101" s="32"/>
      <c r="G101" s="48"/>
    </row>
    <row r="102" spans="1:7" s="47" customFormat="1" ht="20.100000000000001" customHeight="1" x14ac:dyDescent="0.2">
      <c r="A102" s="59" t="s">
        <v>177</v>
      </c>
      <c r="B102" s="59">
        <v>190805270</v>
      </c>
      <c r="C102" s="62" t="s">
        <v>329</v>
      </c>
      <c r="D102" s="37">
        <v>2</v>
      </c>
      <c r="E102" s="32"/>
      <c r="G102" s="48"/>
    </row>
    <row r="103" spans="1:7" s="47" customFormat="1" ht="20.100000000000001" customHeight="1" x14ac:dyDescent="0.2">
      <c r="A103" s="59" t="s">
        <v>178</v>
      </c>
      <c r="B103" s="59">
        <v>190805271</v>
      </c>
      <c r="C103" s="62" t="s">
        <v>293</v>
      </c>
      <c r="D103" s="37">
        <v>1</v>
      </c>
      <c r="E103" s="32"/>
      <c r="G103" s="48"/>
    </row>
    <row r="104" spans="1:7" s="47" customFormat="1" ht="20.100000000000001" customHeight="1" x14ac:dyDescent="0.2">
      <c r="A104" s="59" t="s">
        <v>179</v>
      </c>
      <c r="B104" s="59">
        <v>190805272</v>
      </c>
      <c r="C104" s="62" t="s">
        <v>330</v>
      </c>
      <c r="D104" s="37">
        <v>2</v>
      </c>
      <c r="E104" s="32"/>
      <c r="G104" s="48"/>
    </row>
    <row r="105" spans="1:7" s="47" customFormat="1" ht="20.100000000000001" customHeight="1" x14ac:dyDescent="0.2">
      <c r="A105" s="59" t="s">
        <v>180</v>
      </c>
      <c r="B105" s="59">
        <v>190805273</v>
      </c>
      <c r="C105" s="62" t="s">
        <v>331</v>
      </c>
      <c r="D105" s="37">
        <v>1</v>
      </c>
      <c r="E105" s="32"/>
      <c r="G105" s="48"/>
    </row>
    <row r="106" spans="1:7" s="47" customFormat="1" ht="20.100000000000001" customHeight="1" x14ac:dyDescent="0.2">
      <c r="A106" s="59" t="s">
        <v>181</v>
      </c>
      <c r="B106" s="59">
        <v>190805274</v>
      </c>
      <c r="C106" s="62" t="s">
        <v>332</v>
      </c>
      <c r="D106" s="37">
        <v>0</v>
      </c>
      <c r="E106" s="32"/>
      <c r="G106" s="48"/>
    </row>
    <row r="107" spans="1:7" s="47" customFormat="1" ht="20.100000000000001" customHeight="1" x14ac:dyDescent="0.2">
      <c r="A107" s="59" t="s">
        <v>182</v>
      </c>
      <c r="B107" s="59">
        <v>190805275</v>
      </c>
      <c r="C107" s="62" t="s">
        <v>333</v>
      </c>
      <c r="D107" s="59">
        <v>2</v>
      </c>
      <c r="E107" s="32"/>
      <c r="G107" s="48"/>
    </row>
    <row r="108" spans="1:7" s="47" customFormat="1" ht="20.100000000000001" customHeight="1" x14ac:dyDescent="0.2">
      <c r="A108" s="59" t="s">
        <v>183</v>
      </c>
      <c r="B108" s="59">
        <v>190805276</v>
      </c>
      <c r="C108" s="62" t="s">
        <v>334</v>
      </c>
      <c r="D108" s="59">
        <v>2</v>
      </c>
      <c r="E108" s="32"/>
      <c r="G108" s="48"/>
    </row>
    <row r="109" spans="1:7" s="47" customFormat="1" ht="20.100000000000001" customHeight="1" x14ac:dyDescent="0.2">
      <c r="A109" s="59" t="s">
        <v>184</v>
      </c>
      <c r="B109" s="59">
        <v>190805277</v>
      </c>
      <c r="C109" s="62" t="s">
        <v>294</v>
      </c>
      <c r="D109" s="59">
        <v>2</v>
      </c>
      <c r="E109" s="32"/>
      <c r="G109" s="48"/>
    </row>
    <row r="110" spans="1:7" s="47" customFormat="1" ht="20.100000000000001" customHeight="1" x14ac:dyDescent="0.2">
      <c r="A110" s="59" t="s">
        <v>185</v>
      </c>
      <c r="B110" s="59">
        <v>190805278</v>
      </c>
      <c r="C110" s="62" t="s">
        <v>335</v>
      </c>
      <c r="D110" s="59">
        <v>2</v>
      </c>
      <c r="E110" s="32"/>
      <c r="G110" s="48"/>
    </row>
    <row r="111" spans="1:7" s="47" customFormat="1" ht="20.100000000000001" customHeight="1" x14ac:dyDescent="0.2">
      <c r="A111" s="59" t="s">
        <v>186</v>
      </c>
      <c r="B111" s="59">
        <v>190805279</v>
      </c>
      <c r="C111" s="62" t="s">
        <v>336</v>
      </c>
      <c r="D111" s="50">
        <v>2</v>
      </c>
      <c r="E111" s="32"/>
      <c r="G111" s="48"/>
    </row>
    <row r="112" spans="1:7" s="47" customFormat="1" ht="20.100000000000001" customHeight="1" x14ac:dyDescent="0.2">
      <c r="A112" s="59" t="s">
        <v>187</v>
      </c>
      <c r="B112" s="59">
        <v>190805280</v>
      </c>
      <c r="C112" s="62" t="s">
        <v>337</v>
      </c>
      <c r="D112" s="50">
        <v>0</v>
      </c>
      <c r="E112" s="32"/>
      <c r="G112" s="48"/>
    </row>
    <row r="113" spans="1:7" s="47" customFormat="1" ht="20.100000000000001" customHeight="1" x14ac:dyDescent="0.2">
      <c r="A113" s="59" t="s">
        <v>188</v>
      </c>
      <c r="B113" s="59">
        <v>190805279</v>
      </c>
      <c r="C113" s="62" t="s">
        <v>338</v>
      </c>
      <c r="D113" s="50">
        <v>0</v>
      </c>
      <c r="E113" s="32"/>
      <c r="G113" s="48"/>
    </row>
    <row r="114" spans="1:7" s="47" customFormat="1" ht="20.100000000000001" customHeight="1" x14ac:dyDescent="0.25">
      <c r="A114" s="59"/>
      <c r="B114" s="59"/>
      <c r="C114" s="62"/>
      <c r="D114" s="49">
        <f>SUM(D99:D113)</f>
        <v>21</v>
      </c>
      <c r="E114" s="32"/>
      <c r="G114" s="48"/>
    </row>
    <row r="115" spans="1:7" s="47" customFormat="1" ht="20.100000000000001" customHeight="1" x14ac:dyDescent="0.2">
      <c r="A115" s="59" t="s">
        <v>189</v>
      </c>
      <c r="B115" s="59">
        <v>210632486</v>
      </c>
      <c r="C115" s="62" t="s">
        <v>295</v>
      </c>
      <c r="D115" s="50">
        <v>2</v>
      </c>
      <c r="E115" s="32"/>
      <c r="G115" s="48"/>
    </row>
    <row r="116" spans="1:7" s="47" customFormat="1" ht="20.100000000000001" customHeight="1" x14ac:dyDescent="0.2">
      <c r="A116" s="59" t="s">
        <v>190</v>
      </c>
      <c r="B116" s="59">
        <v>210632486</v>
      </c>
      <c r="C116" s="62" t="s">
        <v>296</v>
      </c>
      <c r="D116" s="50">
        <v>0</v>
      </c>
      <c r="E116" s="32"/>
      <c r="G116" s="48"/>
    </row>
    <row r="117" spans="1:7" s="47" customFormat="1" ht="20.100000000000001" customHeight="1" x14ac:dyDescent="0.2">
      <c r="A117" s="59" t="s">
        <v>191</v>
      </c>
      <c r="B117" s="59">
        <v>210632486</v>
      </c>
      <c r="C117" s="62" t="s">
        <v>297</v>
      </c>
      <c r="D117" s="50">
        <v>2</v>
      </c>
      <c r="E117" s="32"/>
      <c r="G117" s="48"/>
    </row>
    <row r="118" spans="1:7" s="47" customFormat="1" ht="20.100000000000001" customHeight="1" x14ac:dyDescent="0.2">
      <c r="A118" s="59" t="s">
        <v>192</v>
      </c>
      <c r="B118" s="59">
        <v>210632486</v>
      </c>
      <c r="C118" s="62" t="s">
        <v>298</v>
      </c>
      <c r="D118" s="50">
        <v>2</v>
      </c>
      <c r="E118" s="32"/>
      <c r="G118" s="48"/>
    </row>
    <row r="119" spans="1:7" s="47" customFormat="1" ht="20.100000000000001" customHeight="1" x14ac:dyDescent="0.2">
      <c r="A119" s="59" t="s">
        <v>193</v>
      </c>
      <c r="B119" s="59">
        <v>210632486</v>
      </c>
      <c r="C119" s="62" t="s">
        <v>299</v>
      </c>
      <c r="D119" s="50">
        <v>2</v>
      </c>
      <c r="E119" s="32"/>
      <c r="G119" s="48"/>
    </row>
    <row r="120" spans="1:7" s="47" customFormat="1" ht="20.100000000000001" customHeight="1" x14ac:dyDescent="0.2">
      <c r="A120" s="59" t="s">
        <v>194</v>
      </c>
      <c r="B120" s="59">
        <v>200113467</v>
      </c>
      <c r="C120" s="62" t="s">
        <v>300</v>
      </c>
      <c r="D120" s="50">
        <v>0</v>
      </c>
      <c r="E120" s="32"/>
      <c r="G120" s="48"/>
    </row>
    <row r="121" spans="1:7" s="47" customFormat="1" ht="20.100000000000001" customHeight="1" x14ac:dyDescent="0.2">
      <c r="A121" s="59" t="s">
        <v>195</v>
      </c>
      <c r="B121" s="59">
        <v>210632486</v>
      </c>
      <c r="C121" s="62" t="s">
        <v>301</v>
      </c>
      <c r="D121" s="50">
        <v>2</v>
      </c>
      <c r="E121" s="32"/>
      <c r="G121" s="48"/>
    </row>
    <row r="122" spans="1:7" s="47" customFormat="1" ht="20.100000000000001" customHeight="1" x14ac:dyDescent="0.2">
      <c r="A122" s="59" t="s">
        <v>196</v>
      </c>
      <c r="B122" s="59">
        <v>210632486</v>
      </c>
      <c r="C122" s="62" t="s">
        <v>302</v>
      </c>
      <c r="D122" s="34">
        <v>0</v>
      </c>
      <c r="E122" s="32"/>
      <c r="G122" s="48"/>
    </row>
    <row r="123" spans="1:7" s="47" customFormat="1" ht="20.100000000000001" customHeight="1" x14ac:dyDescent="0.2">
      <c r="A123" s="59" t="s">
        <v>197</v>
      </c>
      <c r="B123" s="59">
        <v>210632486</v>
      </c>
      <c r="C123" s="62" t="s">
        <v>303</v>
      </c>
      <c r="D123" s="34">
        <v>0</v>
      </c>
      <c r="E123" s="32"/>
      <c r="G123" s="48"/>
    </row>
    <row r="124" spans="1:7" s="47" customFormat="1" ht="20.100000000000001" customHeight="1" x14ac:dyDescent="0.2">
      <c r="A124" s="59" t="s">
        <v>198</v>
      </c>
      <c r="B124" s="59">
        <v>210632486</v>
      </c>
      <c r="C124" s="62" t="s">
        <v>304</v>
      </c>
      <c r="D124" s="59">
        <v>0</v>
      </c>
      <c r="E124" s="32"/>
      <c r="G124" s="48"/>
    </row>
    <row r="125" spans="1:7" s="47" customFormat="1" ht="20.100000000000001" customHeight="1" x14ac:dyDescent="0.2">
      <c r="A125" s="59" t="s">
        <v>199</v>
      </c>
      <c r="B125" s="59">
        <v>190805275</v>
      </c>
      <c r="C125" s="62" t="s">
        <v>305</v>
      </c>
      <c r="D125" s="59">
        <v>2</v>
      </c>
      <c r="E125" s="32"/>
      <c r="G125" s="48"/>
    </row>
    <row r="126" spans="1:7" s="47" customFormat="1" ht="20.100000000000001" customHeight="1" x14ac:dyDescent="0.2">
      <c r="A126" s="75" t="s">
        <v>200</v>
      </c>
      <c r="B126" s="59">
        <v>210632486</v>
      </c>
      <c r="C126" s="62" t="s">
        <v>306</v>
      </c>
      <c r="D126" s="59">
        <v>1</v>
      </c>
      <c r="E126" s="32"/>
      <c r="G126" s="48"/>
    </row>
    <row r="127" spans="1:7" s="47" customFormat="1" ht="20.100000000000001" customHeight="1" x14ac:dyDescent="0.2">
      <c r="A127" s="75" t="s">
        <v>201</v>
      </c>
      <c r="B127" s="59">
        <v>190805276</v>
      </c>
      <c r="C127" s="62" t="s">
        <v>307</v>
      </c>
      <c r="D127" s="59">
        <v>0</v>
      </c>
      <c r="E127" s="32"/>
      <c r="G127" s="48"/>
    </row>
    <row r="128" spans="1:7" s="47" customFormat="1" ht="20.100000000000001" customHeight="1" x14ac:dyDescent="0.2">
      <c r="A128" s="75" t="s">
        <v>202</v>
      </c>
      <c r="B128" s="59">
        <v>190805277</v>
      </c>
      <c r="C128" s="62" t="s">
        <v>339</v>
      </c>
      <c r="D128" s="59">
        <v>0</v>
      </c>
      <c r="E128" s="32"/>
      <c r="G128" s="48"/>
    </row>
    <row r="129" spans="1:7" s="47" customFormat="1" ht="20.100000000000001" customHeight="1" x14ac:dyDescent="0.2">
      <c r="A129" s="75" t="s">
        <v>203</v>
      </c>
      <c r="B129" s="59">
        <v>190805278</v>
      </c>
      <c r="C129" s="62" t="s">
        <v>340</v>
      </c>
      <c r="D129" s="59">
        <v>0</v>
      </c>
      <c r="E129" s="32"/>
      <c r="G129" s="48"/>
    </row>
    <row r="130" spans="1:7" s="47" customFormat="1" ht="20.100000000000001" customHeight="1" x14ac:dyDescent="0.25">
      <c r="A130" s="75"/>
      <c r="B130" s="59"/>
      <c r="C130" s="62"/>
      <c r="D130" s="76">
        <f>SUM(D115:D129)</f>
        <v>13</v>
      </c>
      <c r="E130" s="32"/>
      <c r="G130" s="48"/>
    </row>
    <row r="131" spans="1:7" s="47" customFormat="1" ht="20.100000000000001" customHeight="1" x14ac:dyDescent="0.2">
      <c r="A131" s="75" t="s">
        <v>204</v>
      </c>
      <c r="B131" s="59">
        <v>190805260</v>
      </c>
      <c r="C131" s="62" t="s">
        <v>341</v>
      </c>
      <c r="D131" s="59">
        <v>0</v>
      </c>
      <c r="E131" s="32"/>
      <c r="G131" s="48"/>
    </row>
    <row r="132" spans="1:7" s="47" customFormat="1" ht="20.100000000000001" customHeight="1" x14ac:dyDescent="0.2">
      <c r="A132" s="75" t="s">
        <v>205</v>
      </c>
      <c r="B132" s="59">
        <v>190805261</v>
      </c>
      <c r="C132" s="62" t="s">
        <v>342</v>
      </c>
      <c r="D132" s="59">
        <v>0</v>
      </c>
      <c r="E132" s="32"/>
      <c r="G132" s="48"/>
    </row>
    <row r="133" spans="1:7" s="47" customFormat="1" ht="20.100000000000001" customHeight="1" x14ac:dyDescent="0.2">
      <c r="A133" s="75" t="s">
        <v>206</v>
      </c>
      <c r="B133" s="59">
        <v>190805262</v>
      </c>
      <c r="C133" s="62" t="s">
        <v>343</v>
      </c>
      <c r="D133" s="59">
        <v>0</v>
      </c>
      <c r="E133" s="32"/>
      <c r="G133" s="48"/>
    </row>
    <row r="134" spans="1:7" s="47" customFormat="1" ht="20.100000000000001" customHeight="1" x14ac:dyDescent="0.2">
      <c r="A134" s="75" t="s">
        <v>207</v>
      </c>
      <c r="B134" s="59">
        <v>190805263</v>
      </c>
      <c r="C134" s="62" t="s">
        <v>344</v>
      </c>
      <c r="D134" s="59">
        <v>0</v>
      </c>
      <c r="E134" s="32"/>
      <c r="G134" s="48"/>
    </row>
    <row r="135" spans="1:7" s="47" customFormat="1" ht="20.100000000000001" customHeight="1" x14ac:dyDescent="0.2">
      <c r="A135" s="75" t="s">
        <v>208</v>
      </c>
      <c r="B135" s="59">
        <v>190805264</v>
      </c>
      <c r="C135" s="62" t="s">
        <v>345</v>
      </c>
      <c r="D135" s="59">
        <v>2</v>
      </c>
      <c r="E135" s="32"/>
      <c r="G135" s="48"/>
    </row>
    <row r="136" spans="1:7" s="47" customFormat="1" ht="20.100000000000001" customHeight="1" x14ac:dyDescent="0.2">
      <c r="A136" s="75" t="s">
        <v>209</v>
      </c>
      <c r="B136" s="59">
        <v>190805265</v>
      </c>
      <c r="C136" s="62" t="s">
        <v>308</v>
      </c>
      <c r="D136" s="59">
        <v>0</v>
      </c>
      <c r="E136" s="32"/>
      <c r="G136" s="48"/>
    </row>
    <row r="137" spans="1:7" s="47" customFormat="1" ht="20.100000000000001" customHeight="1" x14ac:dyDescent="0.2">
      <c r="A137" s="75" t="s">
        <v>210</v>
      </c>
      <c r="B137" s="59">
        <v>190805266</v>
      </c>
      <c r="C137" s="62" t="s">
        <v>346</v>
      </c>
      <c r="D137" s="59">
        <v>0</v>
      </c>
      <c r="E137" s="32"/>
      <c r="G137" s="48"/>
    </row>
    <row r="138" spans="1:7" s="47" customFormat="1" ht="20.100000000000001" customHeight="1" x14ac:dyDescent="0.2">
      <c r="A138" s="75" t="s">
        <v>211</v>
      </c>
      <c r="B138" s="59">
        <v>221052592</v>
      </c>
      <c r="C138" s="62" t="s">
        <v>309</v>
      </c>
      <c r="D138" s="59">
        <v>0</v>
      </c>
      <c r="E138" s="32"/>
      <c r="G138" s="48"/>
    </row>
    <row r="139" spans="1:7" s="47" customFormat="1" ht="20.100000000000001" customHeight="1" x14ac:dyDescent="0.2">
      <c r="A139" s="75" t="s">
        <v>212</v>
      </c>
      <c r="B139" s="59">
        <v>221052593</v>
      </c>
      <c r="C139" s="62" t="s">
        <v>310</v>
      </c>
      <c r="D139" s="59">
        <v>0</v>
      </c>
      <c r="E139" s="32"/>
      <c r="G139" s="48"/>
    </row>
    <row r="140" spans="1:7" s="47" customFormat="1" ht="20.100000000000001" customHeight="1" x14ac:dyDescent="0.2">
      <c r="A140" s="75" t="s">
        <v>213</v>
      </c>
      <c r="B140" s="59">
        <v>220749730</v>
      </c>
      <c r="C140" s="62" t="s">
        <v>311</v>
      </c>
      <c r="D140" s="59">
        <v>0</v>
      </c>
      <c r="E140" s="32"/>
      <c r="G140" s="48"/>
    </row>
    <row r="141" spans="1:7" ht="20.100000000000001" customHeight="1" x14ac:dyDescent="0.2">
      <c r="A141" s="75" t="s">
        <v>214</v>
      </c>
      <c r="B141" s="59">
        <v>220647752</v>
      </c>
      <c r="C141" s="62" t="s">
        <v>312</v>
      </c>
      <c r="D141" s="59">
        <v>0</v>
      </c>
      <c r="E141" s="32"/>
      <c r="G141" s="17"/>
    </row>
    <row r="142" spans="1:7" ht="20.100000000000001" customHeight="1" x14ac:dyDescent="0.2">
      <c r="A142" s="75" t="s">
        <v>215</v>
      </c>
      <c r="B142" s="59">
        <v>220749731</v>
      </c>
      <c r="C142" s="62" t="s">
        <v>313</v>
      </c>
      <c r="D142" s="59">
        <v>0</v>
      </c>
      <c r="E142" s="32"/>
      <c r="G142" s="17"/>
    </row>
    <row r="143" spans="1:7" ht="20.100000000000001" customHeight="1" x14ac:dyDescent="0.2">
      <c r="A143" s="75" t="s">
        <v>216</v>
      </c>
      <c r="B143" s="59">
        <v>220647754</v>
      </c>
      <c r="C143" s="62" t="s">
        <v>314</v>
      </c>
      <c r="D143" s="59">
        <v>0</v>
      </c>
      <c r="E143" s="32"/>
      <c r="G143" s="17"/>
    </row>
    <row r="144" spans="1:7" ht="20.100000000000001" customHeight="1" x14ac:dyDescent="0.2">
      <c r="A144" s="75" t="s">
        <v>217</v>
      </c>
      <c r="B144" s="59">
        <v>220343795</v>
      </c>
      <c r="C144" s="62" t="s">
        <v>315</v>
      </c>
      <c r="D144" s="59">
        <v>0</v>
      </c>
      <c r="E144" s="32"/>
      <c r="G144" s="17"/>
    </row>
    <row r="145" spans="1:7" ht="20.100000000000001" customHeight="1" x14ac:dyDescent="0.2">
      <c r="A145" s="75" t="s">
        <v>218</v>
      </c>
      <c r="B145" s="59">
        <v>190704297</v>
      </c>
      <c r="C145" s="62" t="s">
        <v>316</v>
      </c>
      <c r="D145" s="59">
        <v>0</v>
      </c>
      <c r="E145" s="32"/>
      <c r="G145" s="17"/>
    </row>
    <row r="146" spans="1:7" ht="20.100000000000001" customHeight="1" x14ac:dyDescent="0.25">
      <c r="A146" s="75"/>
      <c r="B146" s="59"/>
      <c r="C146" s="62"/>
      <c r="D146" s="76">
        <f>SUM(D131:D145)</f>
        <v>2</v>
      </c>
      <c r="E146" s="32"/>
      <c r="G146" s="17"/>
    </row>
    <row r="147" spans="1:7" ht="20.100000000000001" customHeight="1" x14ac:dyDescent="0.2">
      <c r="A147" s="75" t="s">
        <v>219</v>
      </c>
      <c r="B147" s="59">
        <v>200316715</v>
      </c>
      <c r="C147" s="62" t="s">
        <v>317</v>
      </c>
      <c r="D147" s="59">
        <v>5</v>
      </c>
      <c r="E147" s="32"/>
      <c r="G147" s="17"/>
    </row>
    <row r="148" spans="1:7" ht="20.100000000000001" customHeight="1" x14ac:dyDescent="0.25">
      <c r="A148" s="25"/>
      <c r="B148" s="35"/>
      <c r="C148" s="36"/>
    </row>
    <row r="149" spans="1:7" ht="20.100000000000001" customHeight="1" x14ac:dyDescent="0.25">
      <c r="A149" s="25"/>
      <c r="B149" s="35"/>
      <c r="C149" s="36"/>
    </row>
    <row r="150" spans="1:7" ht="20.100000000000001" customHeight="1" x14ac:dyDescent="0.3">
      <c r="B150" s="64"/>
      <c r="C150" s="64" t="s">
        <v>82</v>
      </c>
    </row>
    <row r="151" spans="1:7" ht="20.100000000000001" customHeight="1" x14ac:dyDescent="0.3">
      <c r="B151" s="65" t="s">
        <v>33</v>
      </c>
      <c r="C151" s="65" t="s">
        <v>34</v>
      </c>
    </row>
    <row r="152" spans="1:7" ht="20.100000000000001" customHeight="1" x14ac:dyDescent="0.3">
      <c r="B152" s="66"/>
      <c r="C152" s="65" t="s">
        <v>29</v>
      </c>
    </row>
    <row r="153" spans="1:7" ht="20.100000000000001" customHeight="1" x14ac:dyDescent="0.2">
      <c r="B153" s="50">
        <v>1</v>
      </c>
      <c r="C153" s="67" t="s">
        <v>83</v>
      </c>
    </row>
    <row r="154" spans="1:7" ht="20.100000000000001" customHeight="1" x14ac:dyDescent="0.2">
      <c r="B154" s="50">
        <v>1</v>
      </c>
      <c r="C154" s="67" t="s">
        <v>30</v>
      </c>
    </row>
    <row r="155" spans="1:7" ht="20.100000000000001" customHeight="1" x14ac:dyDescent="0.2">
      <c r="B155" s="50">
        <v>2</v>
      </c>
      <c r="C155" s="67" t="s">
        <v>84</v>
      </c>
    </row>
    <row r="156" spans="1:7" ht="20.100000000000001" customHeight="1" x14ac:dyDescent="0.2">
      <c r="B156" s="50">
        <v>1</v>
      </c>
      <c r="C156" s="67" t="s">
        <v>85</v>
      </c>
    </row>
    <row r="157" spans="1:7" ht="20.100000000000001" customHeight="1" x14ac:dyDescent="0.2">
      <c r="B157" s="50">
        <v>4</v>
      </c>
      <c r="C157" s="55" t="s">
        <v>86</v>
      </c>
    </row>
    <row r="158" spans="1:7" ht="20.100000000000001" customHeight="1" x14ac:dyDescent="0.2">
      <c r="B158" s="50">
        <v>1</v>
      </c>
      <c r="C158" s="67" t="s">
        <v>87</v>
      </c>
    </row>
    <row r="159" spans="1:7" ht="20.100000000000001" customHeight="1" x14ac:dyDescent="0.2">
      <c r="B159" s="50">
        <v>1</v>
      </c>
      <c r="C159" s="67" t="s">
        <v>88</v>
      </c>
    </row>
    <row r="160" spans="1:7" ht="20.100000000000001" customHeight="1" x14ac:dyDescent="0.2">
      <c r="B160" s="50">
        <v>1</v>
      </c>
      <c r="C160" s="67" t="s">
        <v>89</v>
      </c>
    </row>
    <row r="161" spans="2:3" ht="20.100000000000001" customHeight="1" x14ac:dyDescent="0.2">
      <c r="B161" s="50">
        <v>1</v>
      </c>
      <c r="C161" s="67" t="s">
        <v>90</v>
      </c>
    </row>
    <row r="162" spans="2:3" ht="20.100000000000001" customHeight="1" x14ac:dyDescent="0.2">
      <c r="B162" s="50">
        <v>1</v>
      </c>
      <c r="C162" s="67" t="s">
        <v>91</v>
      </c>
    </row>
    <row r="163" spans="2:3" ht="20.100000000000001" customHeight="1" x14ac:dyDescent="0.2">
      <c r="B163" s="50">
        <v>1</v>
      </c>
      <c r="C163" s="68" t="s">
        <v>92</v>
      </c>
    </row>
    <row r="164" spans="2:3" ht="20.100000000000001" customHeight="1" x14ac:dyDescent="0.2">
      <c r="B164" s="50">
        <v>1</v>
      </c>
      <c r="C164" s="68" t="s">
        <v>93</v>
      </c>
    </row>
    <row r="165" spans="2:3" ht="20.100000000000001" customHeight="1" x14ac:dyDescent="0.2">
      <c r="B165" s="50">
        <v>1</v>
      </c>
      <c r="C165" s="67" t="s">
        <v>94</v>
      </c>
    </row>
    <row r="166" spans="2:3" ht="20.100000000000001" customHeight="1" x14ac:dyDescent="0.2">
      <c r="B166" s="50">
        <v>2</v>
      </c>
      <c r="C166" s="67" t="s">
        <v>95</v>
      </c>
    </row>
    <row r="167" spans="2:3" ht="20.100000000000001" customHeight="1" x14ac:dyDescent="0.2">
      <c r="B167" s="50">
        <v>1</v>
      </c>
      <c r="C167" s="67" t="s">
        <v>96</v>
      </c>
    </row>
    <row r="168" spans="2:3" ht="20.100000000000001" customHeight="1" x14ac:dyDescent="0.2">
      <c r="B168" s="50">
        <v>1</v>
      </c>
      <c r="C168" s="67" t="s">
        <v>97</v>
      </c>
    </row>
    <row r="169" spans="2:3" ht="20.100000000000001" customHeight="1" x14ac:dyDescent="0.2">
      <c r="B169" s="50">
        <v>2</v>
      </c>
      <c r="C169" s="67" t="s">
        <v>98</v>
      </c>
    </row>
    <row r="170" spans="2:3" ht="20.100000000000001" customHeight="1" x14ac:dyDescent="0.2">
      <c r="B170" s="50">
        <v>1</v>
      </c>
      <c r="C170" s="67" t="s">
        <v>99</v>
      </c>
    </row>
    <row r="171" spans="2:3" ht="20.100000000000001" customHeight="1" x14ac:dyDescent="0.2">
      <c r="B171" s="50">
        <v>2</v>
      </c>
      <c r="C171" s="67" t="s">
        <v>100</v>
      </c>
    </row>
    <row r="172" spans="2:3" ht="20.100000000000001" customHeight="1" x14ac:dyDescent="0.2">
      <c r="B172" s="50">
        <v>1</v>
      </c>
      <c r="C172" s="67" t="s">
        <v>101</v>
      </c>
    </row>
    <row r="173" spans="2:3" ht="20.100000000000001" customHeight="1" x14ac:dyDescent="0.25">
      <c r="B173" s="49">
        <f>SUM(B153:B172)</f>
        <v>27</v>
      </c>
      <c r="C173" s="67"/>
    </row>
    <row r="174" spans="2:3" ht="20.100000000000001" customHeight="1" x14ac:dyDescent="0.25">
      <c r="B174" s="46"/>
      <c r="C174" s="46"/>
    </row>
    <row r="175" spans="2:3" ht="20.100000000000001" customHeight="1" x14ac:dyDescent="0.25">
      <c r="B175" s="66"/>
      <c r="C175" s="49" t="s">
        <v>102</v>
      </c>
    </row>
    <row r="176" spans="2:3" ht="20.100000000000001" customHeight="1" x14ac:dyDescent="0.2">
      <c r="B176" s="50">
        <v>1</v>
      </c>
      <c r="C176" s="67" t="s">
        <v>103</v>
      </c>
    </row>
    <row r="177" spans="2:3" ht="20.100000000000001" customHeight="1" x14ac:dyDescent="0.2">
      <c r="B177" s="50">
        <v>2</v>
      </c>
      <c r="C177" s="67" t="s">
        <v>104</v>
      </c>
    </row>
    <row r="178" spans="2:3" ht="20.100000000000001" customHeight="1" x14ac:dyDescent="0.2">
      <c r="B178" s="50">
        <v>1</v>
      </c>
      <c r="C178" s="67" t="s">
        <v>105</v>
      </c>
    </row>
    <row r="179" spans="2:3" ht="20.100000000000001" customHeight="1" x14ac:dyDescent="0.2">
      <c r="B179" s="50">
        <v>1</v>
      </c>
      <c r="C179" s="67" t="s">
        <v>106</v>
      </c>
    </row>
    <row r="180" spans="2:3" ht="20.100000000000001" customHeight="1" x14ac:dyDescent="0.2">
      <c r="B180" s="50">
        <v>2</v>
      </c>
      <c r="C180" s="67" t="s">
        <v>107</v>
      </c>
    </row>
    <row r="181" spans="2:3" ht="20.100000000000001" customHeight="1" x14ac:dyDescent="0.2">
      <c r="B181" s="50">
        <v>1</v>
      </c>
      <c r="C181" s="69" t="s">
        <v>108</v>
      </c>
    </row>
    <row r="182" spans="2:3" ht="20.100000000000001" customHeight="1" x14ac:dyDescent="0.2">
      <c r="B182" s="50">
        <v>1</v>
      </c>
      <c r="C182" s="67" t="s">
        <v>109</v>
      </c>
    </row>
    <row r="183" spans="2:3" ht="20.100000000000001" customHeight="1" x14ac:dyDescent="0.2">
      <c r="B183" s="50">
        <v>1</v>
      </c>
      <c r="C183" s="67" t="s">
        <v>110</v>
      </c>
    </row>
    <row r="184" spans="2:3" ht="20.100000000000001" customHeight="1" x14ac:dyDescent="0.2">
      <c r="B184" s="50">
        <v>1</v>
      </c>
      <c r="C184" s="67" t="s">
        <v>111</v>
      </c>
    </row>
    <row r="185" spans="2:3" ht="20.100000000000001" customHeight="1" x14ac:dyDescent="0.25">
      <c r="B185" s="49">
        <f t="shared" ref="B185" si="0">SUM(B176:B184)</f>
        <v>11</v>
      </c>
      <c r="C185" s="66"/>
    </row>
    <row r="186" spans="2:3" ht="20.100000000000001" customHeight="1" x14ac:dyDescent="0.25">
      <c r="B186" s="77"/>
      <c r="C186" s="78" t="s">
        <v>220</v>
      </c>
    </row>
    <row r="187" spans="2:3" ht="20.100000000000001" customHeight="1" x14ac:dyDescent="0.25">
      <c r="B187" s="79" t="s">
        <v>33</v>
      </c>
      <c r="C187" s="79" t="s">
        <v>34</v>
      </c>
    </row>
    <row r="188" spans="2:3" ht="20.100000000000001" customHeight="1" x14ac:dyDescent="0.2">
      <c r="B188" s="80">
        <v>2</v>
      </c>
      <c r="C188" s="81" t="s">
        <v>35</v>
      </c>
    </row>
    <row r="189" spans="2:3" ht="20.100000000000001" customHeight="1" x14ac:dyDescent="0.2">
      <c r="B189" s="80">
        <v>2</v>
      </c>
      <c r="C189" s="81" t="s">
        <v>36</v>
      </c>
    </row>
    <row r="190" spans="2:3" ht="20.100000000000001" customHeight="1" x14ac:dyDescent="0.2">
      <c r="B190" s="80">
        <v>2</v>
      </c>
      <c r="C190" s="81" t="s">
        <v>221</v>
      </c>
    </row>
    <row r="191" spans="2:3" ht="20.100000000000001" customHeight="1" x14ac:dyDescent="0.2">
      <c r="B191" s="80">
        <v>2</v>
      </c>
      <c r="C191" s="82" t="s">
        <v>222</v>
      </c>
    </row>
    <row r="192" spans="2:3" ht="20.100000000000001" customHeight="1" x14ac:dyDescent="0.2">
      <c r="B192" s="80">
        <v>1</v>
      </c>
      <c r="C192" s="81" t="s">
        <v>223</v>
      </c>
    </row>
    <row r="193" spans="2:3" ht="20.100000000000001" customHeight="1" x14ac:dyDescent="0.2">
      <c r="B193" s="80">
        <v>1</v>
      </c>
      <c r="C193" s="81" t="s">
        <v>37</v>
      </c>
    </row>
    <row r="194" spans="2:3" ht="20.100000000000001" customHeight="1" x14ac:dyDescent="0.2">
      <c r="B194" s="80">
        <v>1</v>
      </c>
      <c r="C194" s="81" t="s">
        <v>38</v>
      </c>
    </row>
    <row r="195" spans="2:3" ht="20.100000000000001" customHeight="1" x14ac:dyDescent="0.2">
      <c r="B195" s="80">
        <v>2</v>
      </c>
      <c r="C195" s="81" t="s">
        <v>39</v>
      </c>
    </row>
    <row r="196" spans="2:3" ht="20.100000000000001" customHeight="1" x14ac:dyDescent="0.2">
      <c r="B196" s="80">
        <v>1</v>
      </c>
      <c r="C196" s="81" t="s">
        <v>40</v>
      </c>
    </row>
    <row r="197" spans="2:3" ht="20.100000000000001" customHeight="1" x14ac:dyDescent="0.2">
      <c r="B197" s="80">
        <v>1</v>
      </c>
      <c r="C197" s="81" t="s">
        <v>31</v>
      </c>
    </row>
    <row r="198" spans="2:3" ht="20.100000000000001" customHeight="1" x14ac:dyDescent="0.2">
      <c r="B198" s="80">
        <v>1</v>
      </c>
      <c r="C198" s="81" t="s">
        <v>224</v>
      </c>
    </row>
    <row r="199" spans="2:3" ht="20.100000000000001" customHeight="1" x14ac:dyDescent="0.2">
      <c r="B199" s="80">
        <v>1</v>
      </c>
      <c r="C199" s="81" t="s">
        <v>41</v>
      </c>
    </row>
    <row r="200" spans="2:3" ht="20.100000000000001" customHeight="1" x14ac:dyDescent="0.2">
      <c r="B200" s="80">
        <v>1</v>
      </c>
      <c r="C200" s="81" t="s">
        <v>225</v>
      </c>
    </row>
    <row r="201" spans="2:3" ht="20.100000000000001" customHeight="1" x14ac:dyDescent="0.2">
      <c r="B201" s="80">
        <v>2</v>
      </c>
      <c r="C201" s="81" t="s">
        <v>226</v>
      </c>
    </row>
    <row r="202" spans="2:3" ht="20.100000000000001" customHeight="1" x14ac:dyDescent="0.2">
      <c r="B202" s="80">
        <v>1</v>
      </c>
      <c r="C202" s="81" t="s">
        <v>42</v>
      </c>
    </row>
    <row r="203" spans="2:3" ht="20.100000000000001" customHeight="1" x14ac:dyDescent="0.2">
      <c r="B203" s="80">
        <v>1</v>
      </c>
      <c r="C203" s="81" t="s">
        <v>43</v>
      </c>
    </row>
    <row r="204" spans="2:3" ht="20.100000000000001" customHeight="1" x14ac:dyDescent="0.2">
      <c r="B204" s="80">
        <v>2</v>
      </c>
      <c r="C204" s="81" t="s">
        <v>227</v>
      </c>
    </row>
    <row r="205" spans="2:3" ht="20.100000000000001" customHeight="1" x14ac:dyDescent="0.2">
      <c r="B205" s="80">
        <v>1</v>
      </c>
      <c r="C205" s="81" t="s">
        <v>228</v>
      </c>
    </row>
    <row r="206" spans="2:3" ht="20.100000000000001" customHeight="1" x14ac:dyDescent="0.25">
      <c r="B206" s="79">
        <v>25</v>
      </c>
      <c r="C206" s="81"/>
    </row>
    <row r="207" spans="2:3" ht="20.100000000000001" customHeight="1" x14ac:dyDescent="0.3">
      <c r="B207" s="42">
        <v>1</v>
      </c>
      <c r="C207" s="43" t="s">
        <v>230</v>
      </c>
    </row>
    <row r="208" spans="2:3" ht="20.100000000000001" customHeight="1" x14ac:dyDescent="0.3">
      <c r="B208" s="42">
        <v>1</v>
      </c>
      <c r="C208" s="43" t="s">
        <v>229</v>
      </c>
    </row>
    <row r="209" spans="2:5" ht="20.100000000000001" customHeight="1" x14ac:dyDescent="0.3">
      <c r="B209" s="42">
        <v>2</v>
      </c>
      <c r="C209" s="43" t="s">
        <v>231</v>
      </c>
    </row>
    <row r="210" spans="2:5" ht="20.100000000000001" customHeight="1" x14ac:dyDescent="0.3">
      <c r="B210" s="41">
        <f>SUM(B207:B209)</f>
        <v>4</v>
      </c>
      <c r="C210" s="40"/>
    </row>
    <row r="211" spans="2:5" ht="20.100000000000001" customHeight="1" x14ac:dyDescent="0.25">
      <c r="B211" s="24"/>
      <c r="C211" s="24"/>
    </row>
    <row r="212" spans="2:5" ht="20.100000000000001" customHeight="1" x14ac:dyDescent="0.25">
      <c r="B212" s="38"/>
      <c r="C212" s="39"/>
    </row>
    <row r="213" spans="2:5" ht="20.100000000000001" customHeight="1" x14ac:dyDescent="0.25">
      <c r="B213" s="24"/>
      <c r="C213" s="24"/>
    </row>
    <row r="214" spans="2:5" ht="20.100000000000001" customHeight="1" x14ac:dyDescent="0.25">
      <c r="B214" s="24"/>
      <c r="C214" s="24"/>
      <c r="E214" s="47"/>
    </row>
    <row r="215" spans="2:5" ht="20.100000000000001" customHeight="1" x14ac:dyDescent="0.25">
      <c r="B215" s="93" t="s">
        <v>15</v>
      </c>
      <c r="C215" s="93"/>
      <c r="D215" s="24"/>
      <c r="E215" s="47"/>
    </row>
    <row r="216" spans="2:5" ht="20.100000000000001" customHeight="1" x14ac:dyDescent="0.25">
      <c r="B216" s="25"/>
      <c r="D216" s="24"/>
      <c r="E216" s="47"/>
    </row>
    <row r="217" spans="2:5" ht="20.100000000000001" customHeight="1" x14ac:dyDescent="0.25">
      <c r="B217" s="25"/>
      <c r="D217" s="24"/>
      <c r="E217" s="47"/>
    </row>
    <row r="218" spans="2:5" ht="20.100000000000001" customHeight="1" x14ac:dyDescent="0.25">
      <c r="B218" s="93" t="s">
        <v>16</v>
      </c>
      <c r="C218" s="93"/>
      <c r="D218" s="24"/>
      <c r="E218" s="47"/>
    </row>
    <row r="219" spans="2:5" ht="20.100000000000001" customHeight="1" x14ac:dyDescent="0.25">
      <c r="B219" s="25"/>
      <c r="D219" s="24"/>
      <c r="E219" s="47"/>
    </row>
    <row r="220" spans="2:5" ht="20.100000000000001" customHeight="1" x14ac:dyDescent="0.25">
      <c r="B220" s="25"/>
      <c r="D220" s="26"/>
      <c r="E220" s="47"/>
    </row>
    <row r="221" spans="2:5" ht="20.100000000000001" customHeight="1" x14ac:dyDescent="0.25">
      <c r="B221" s="93" t="s">
        <v>17</v>
      </c>
      <c r="C221" s="93"/>
      <c r="D221" s="26"/>
      <c r="E221" s="47"/>
    </row>
    <row r="222" spans="2:5" ht="20.100000000000001" customHeight="1" x14ac:dyDescent="0.25">
      <c r="B222" s="25"/>
      <c r="D222" s="26"/>
      <c r="E222" s="47"/>
    </row>
    <row r="223" spans="2:5" ht="20.100000000000001" customHeight="1" x14ac:dyDescent="0.25">
      <c r="B223" s="25"/>
      <c r="D223" s="26"/>
      <c r="E223" s="47"/>
    </row>
    <row r="224" spans="2:5" ht="20.100000000000001" customHeight="1" x14ac:dyDescent="0.25">
      <c r="B224" s="93" t="s">
        <v>18</v>
      </c>
      <c r="C224" s="93"/>
      <c r="D224" s="26"/>
      <c r="E224" s="47"/>
    </row>
    <row r="225" spans="2:5" ht="20.100000000000001" customHeight="1" x14ac:dyDescent="0.25">
      <c r="C225" s="25"/>
      <c r="D225" s="26"/>
      <c r="E225" s="47"/>
    </row>
    <row r="226" spans="2:5" ht="20.100000000000001" customHeight="1" x14ac:dyDescent="0.25">
      <c r="C226" s="25"/>
      <c r="D226" s="26"/>
      <c r="E226" s="47"/>
    </row>
    <row r="227" spans="2:5" ht="20.100000000000001" customHeight="1" x14ac:dyDescent="0.25">
      <c r="B227" s="83" t="s">
        <v>19</v>
      </c>
      <c r="C227" s="92"/>
      <c r="D227" s="26"/>
      <c r="E227" s="47"/>
    </row>
    <row r="228" spans="2:5" ht="20.100000000000001" customHeight="1" x14ac:dyDescent="0.2">
      <c r="C228" s="6"/>
      <c r="D228" s="26"/>
      <c r="E228" s="47"/>
    </row>
    <row r="229" spans="2:5" ht="20.100000000000001" customHeight="1" x14ac:dyDescent="0.2">
      <c r="E229" s="47"/>
    </row>
    <row r="230" spans="2:5" ht="20.100000000000001" customHeight="1" x14ac:dyDescent="0.2">
      <c r="E230" s="47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9">
    <mergeCell ref="L5:M6"/>
    <mergeCell ref="D2:E2"/>
    <mergeCell ref="C4:C5"/>
    <mergeCell ref="C2:C3"/>
    <mergeCell ref="B215:C215"/>
    <mergeCell ref="B218:C218"/>
    <mergeCell ref="B221:C221"/>
    <mergeCell ref="B224:C224"/>
    <mergeCell ref="A11:B11"/>
  </mergeCells>
  <printOptions horizontalCentered="1"/>
  <pageMargins left="0.39370078740157483" right="0.39370078740157483" top="0.39370078740157483" bottom="0" header="0.31496062992125984" footer="0.31496062992125984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Usuario Principal</cp:lastModifiedBy>
  <cp:lastPrinted>2023-04-24T16:17:37Z</cp:lastPrinted>
  <dcterms:created xsi:type="dcterms:W3CDTF">2023-01-26T13:28:36Z</dcterms:created>
  <dcterms:modified xsi:type="dcterms:W3CDTF">2023-04-24T17:32:17Z</dcterms:modified>
</cp:coreProperties>
</file>