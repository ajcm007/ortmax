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NOTAS DE ENTREGA A COMPAÑEROS\"/>
    </mc:Choice>
  </mc:AlternateContent>
  <xr:revisionPtr revIDLastSave="0" documentId="13_ncr:1_{0D3E01A9-909D-4F93-A793-5F101DD1119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4" sheetId="4" state="hidden" r:id="rId2"/>
    <sheet name="Hoja2" sheetId="2" state="hidden" r:id="rId3"/>
  </sheets>
  <definedNames>
    <definedName name="_xlnm.Print_Area" localSheetId="0">Hoja1!$A$2:$E$23</definedName>
    <definedName name="wclientes">#REF!</definedName>
    <definedName name="wproducto">#REF!</definedName>
    <definedName name="Z_3342B702_8207_4EA1_8384_FAFEA840CE2A_.wvu.PrintArea" localSheetId="0" hidden="1">Hoja1!$A$2:$E$23</definedName>
  </definedNames>
  <calcPr calcId="191029"/>
  <customWorkbookViews>
    <customWorkbookView name="Usuario Principal - Vista personalizada" guid="{3342B702-8207-4EA1-8384-FAFEA840CE2A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7" i="1" l="1"/>
  <c r="B142" i="1"/>
  <c r="B124" i="1"/>
  <c r="D92" i="1"/>
  <c r="D74" i="1"/>
  <c r="D63" i="1"/>
  <c r="D48" i="1"/>
  <c r="D37" i="1"/>
  <c r="G99" i="1"/>
  <c r="G100" i="1" s="1"/>
  <c r="G10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00000000-0006-0000-0000-000001000000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00000000-0006-0000-0000-000002000000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00000000-0006-0000-0000-000003000000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00000000-0006-0000-0000-000004000000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sharedStrings.xml><?xml version="1.0" encoding="utf-8"?>
<sst xmlns="http://schemas.openxmlformats.org/spreadsheetml/2006/main" count="291" uniqueCount="288">
  <si>
    <t>FECHA DE EMISIÓN:</t>
  </si>
  <si>
    <t>No. DOC</t>
  </si>
  <si>
    <t>NOMBRE CLIENTE</t>
  </si>
  <si>
    <t>RUC. CLIENTE</t>
  </si>
  <si>
    <t>PUNTO DE LLEGADA</t>
  </si>
  <si>
    <t>MOTIVO DE TRASLADO</t>
  </si>
  <si>
    <t>FECHA CIRUGÍA</t>
  </si>
  <si>
    <t>HORA  CIRUGIA</t>
  </si>
  <si>
    <t>NOMBRE MÉDICO</t>
  </si>
  <si>
    <t>NOMBRE PACIENTE</t>
  </si>
  <si>
    <t>COD. ARTICULO</t>
  </si>
  <si>
    <t>Lote</t>
  </si>
  <si>
    <t xml:space="preserve">DESCRIPCION ARTICULO </t>
  </si>
  <si>
    <t>CANT.</t>
  </si>
  <si>
    <t>DESCARGO</t>
  </si>
  <si>
    <t>RECIBIDO POR</t>
  </si>
  <si>
    <t>ENTREGADO POR</t>
  </si>
  <si>
    <t>VERIFICADO POR</t>
  </si>
  <si>
    <t>OBSERVACIONES</t>
  </si>
  <si>
    <t xml:space="preserve">TIPO DE SEGURO </t>
  </si>
  <si>
    <t xml:space="preserve">IDENTIFICACION DEL PACIENTE </t>
  </si>
  <si>
    <t>INSTITUCION/CLINICA/HOSPITAL</t>
  </si>
  <si>
    <t>NOTA</t>
  </si>
  <si>
    <t>Código: R-ORT-02</t>
  </si>
  <si>
    <t>REGISTRO DE NOTA DE ENTREGA</t>
  </si>
  <si>
    <t>ANEXO AL PROCEDIMIENTO DE DESPACHO</t>
  </si>
  <si>
    <t>VERSION: 01</t>
  </si>
  <si>
    <t>VENTA -CIRUGÍA</t>
  </si>
  <si>
    <t>GUAYAQUIL</t>
  </si>
  <si>
    <t>INQ</t>
  </si>
  <si>
    <t>DR. PARRALES</t>
  </si>
  <si>
    <t>CANTIDAD</t>
  </si>
  <si>
    <t xml:space="preserve">BANDEJA INFERIOR </t>
  </si>
  <si>
    <t>Fecha de elaboración:</t>
  </si>
  <si>
    <t xml:space="preserve">Vigente hasta: </t>
  </si>
  <si>
    <t>PRECIO UNITARIO</t>
  </si>
  <si>
    <t>PRECIO TOTAL</t>
  </si>
  <si>
    <t xml:space="preserve">SUBTOTAL </t>
  </si>
  <si>
    <t>IVA 12%</t>
  </si>
  <si>
    <t>TOTAL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</si>
  <si>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</si>
  <si>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</si>
  <si>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</si>
  <si>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</si>
  <si>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</si>
  <si>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</si>
  <si>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</si>
  <si>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</si>
  <si>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</si>
  <si>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</si>
  <si>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</si>
  <si>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</si>
  <si>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</si>
  <si>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</si>
  <si>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</si>
  <si>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</si>
  <si>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</si>
  <si>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</si>
  <si>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 xml:space="preserve">  Libro de registro de notas, se debe acalar que para ejecutar este archivo es necesario que se abra con macros y al ejecutar se abre un archivo llamado productos.xlms
clave 123456</t>
  </si>
  <si>
    <t>NOTAS:</t>
  </si>
  <si>
    <t>DESCRIPCIÓN</t>
  </si>
  <si>
    <t xml:space="preserve">BANDEJA SUPERIOR </t>
  </si>
  <si>
    <t>LLAVE JACOBS</t>
  </si>
  <si>
    <t>INSRUMENTADOR</t>
  </si>
  <si>
    <t>130.9.170</t>
  </si>
  <si>
    <t>CLAVO PFNA 9*170mm ACERO</t>
  </si>
  <si>
    <t>130.9.200</t>
  </si>
  <si>
    <t>CLAVO PFNA 9*200mm ACERO</t>
  </si>
  <si>
    <t>130.9.240</t>
  </si>
  <si>
    <t>CLAVO PFNA 9*240mm ACERO</t>
  </si>
  <si>
    <t>130.10.170</t>
  </si>
  <si>
    <t>CLAVO PFNA 10*170mm ACERO</t>
  </si>
  <si>
    <t>130.10.200</t>
  </si>
  <si>
    <t>CLAVO PFNA 10*200mm ACERO</t>
  </si>
  <si>
    <t>130.10.220</t>
  </si>
  <si>
    <t>CLAVO PFNA 10*220mm ACERO</t>
  </si>
  <si>
    <t>130.10.240</t>
  </si>
  <si>
    <t>CLAVO PFNA 10*240mm ACERO</t>
  </si>
  <si>
    <t>130.11.170</t>
  </si>
  <si>
    <t>CLAVO PFNA 11*170mm ACERO</t>
  </si>
  <si>
    <t>130.11.200</t>
  </si>
  <si>
    <t xml:space="preserve">CLAVO PFNA 11*200mm ACERO </t>
  </si>
  <si>
    <t>130.11.240</t>
  </si>
  <si>
    <t xml:space="preserve">CLAVO PFNA 11*240mm ACERO </t>
  </si>
  <si>
    <t>130.12.170</t>
  </si>
  <si>
    <t xml:space="preserve">CLAVO PFNA 12*170mm ACERO </t>
  </si>
  <si>
    <t>130.12.200</t>
  </si>
  <si>
    <t xml:space="preserve">CLAVO PFNA 12*200mm ACERO </t>
  </si>
  <si>
    <t>130.12.240</t>
  </si>
  <si>
    <t xml:space="preserve">CLAVO PFNA 12*240mm ACERO </t>
  </si>
  <si>
    <t>130.9.260L</t>
  </si>
  <si>
    <t>CLAVO PFNA 9*260mm  IZQ ACERO</t>
  </si>
  <si>
    <t>130.9.260R</t>
  </si>
  <si>
    <t>CLAVO PFNA 9*260mm DER ACERO</t>
  </si>
  <si>
    <t>130.9.280L</t>
  </si>
  <si>
    <t>CLAVO PFNA 9*280mm  IZQ ACERO</t>
  </si>
  <si>
    <t>130.9.280R</t>
  </si>
  <si>
    <t>CLAVO PFNA 9*280mm  DER ACERO</t>
  </si>
  <si>
    <t>130.9.300L</t>
  </si>
  <si>
    <t>CLAVO PFNA 9*300mm  IZQ ACERO</t>
  </si>
  <si>
    <t>130.9.300R</t>
  </si>
  <si>
    <t>CLAVO PFNA 9*300mm  DER ACERO</t>
  </si>
  <si>
    <t>130.9.320L</t>
  </si>
  <si>
    <t>CLAVO PFNA 9*320mm  IZQ ACERO</t>
  </si>
  <si>
    <t>130.9.320R</t>
  </si>
  <si>
    <t>CLAVO PFNA 9*320mm  DER ACERO</t>
  </si>
  <si>
    <t>130.9.340L</t>
  </si>
  <si>
    <t>CLAVO PFNA 9*340mm IZQ ACERO</t>
  </si>
  <si>
    <t>130.9.340R</t>
  </si>
  <si>
    <t>CLAVO PFNA 9*340mm  DER ACERO</t>
  </si>
  <si>
    <t>13010260L</t>
  </si>
  <si>
    <t xml:space="preserve">CLAVO PFNA 10*260mm IZQ ACERO </t>
  </si>
  <si>
    <t>13010260R</t>
  </si>
  <si>
    <t>CLAVO PFNA 10*260mm DER ACERO</t>
  </si>
  <si>
    <t>13010280L</t>
  </si>
  <si>
    <t xml:space="preserve">CLAVO PFNA 10*280mm IZQ ACERO </t>
  </si>
  <si>
    <t>13010280R</t>
  </si>
  <si>
    <t>CLAVO PFNA 10*280mm DER ACERO</t>
  </si>
  <si>
    <t>13010300L</t>
  </si>
  <si>
    <t xml:space="preserve">CLAVO PFNA 10*300mm IZQ ACERO </t>
  </si>
  <si>
    <t>13010300R</t>
  </si>
  <si>
    <t>CLAVO PFNA 10*300mm DER ACERO</t>
  </si>
  <si>
    <t>13010320L</t>
  </si>
  <si>
    <t>CLAVO PFNA 10*320mm IZQ ACERO</t>
  </si>
  <si>
    <t>13010320R</t>
  </si>
  <si>
    <t>CLAVO PFNA 10*320mm DER ACERO</t>
  </si>
  <si>
    <t>13010340L</t>
  </si>
  <si>
    <t>CLAVO PFNA 10*340mm IZQ ACERO</t>
  </si>
  <si>
    <t>13010340R</t>
  </si>
  <si>
    <t>CLAVO PFNA 10*340mm DER ACERO</t>
  </si>
  <si>
    <t>13010380L</t>
  </si>
  <si>
    <t>CLAVO PFNA 10*380mm IZQ ACERO</t>
  </si>
  <si>
    <t>13010380R</t>
  </si>
  <si>
    <t>CLAVO PFNA 10*380mm DER ACERO</t>
  </si>
  <si>
    <t>13010420L</t>
  </si>
  <si>
    <t>CLAVO PFNA 10*420mm IZQ ACERO</t>
  </si>
  <si>
    <t>13010420R</t>
  </si>
  <si>
    <t>CLAVO PFNA 10*420mm DER ACERO</t>
  </si>
  <si>
    <t>PFNA-75</t>
  </si>
  <si>
    <t>HOJA HELICOIDAL PFNA *75mm ACERO</t>
  </si>
  <si>
    <t>PFNA-80</t>
  </si>
  <si>
    <t>HOJA HELICOIDAL PFNA *80mm ACERO</t>
  </si>
  <si>
    <t>PFNA-85</t>
  </si>
  <si>
    <t>HOJA HELICOIDAL PFNA *85mm ACERO</t>
  </si>
  <si>
    <t>PFNA-90</t>
  </si>
  <si>
    <t>HOJA HELICOIDAL PFNA *90mm ACERO</t>
  </si>
  <si>
    <t>PFNA-95</t>
  </si>
  <si>
    <t>HOJA HELICOIDAL PFNA *95mm ACERO</t>
  </si>
  <si>
    <t>PFNA-100</t>
  </si>
  <si>
    <t>HOJA HELICOIDAL PFNA *100mm ACERO</t>
  </si>
  <si>
    <t>PFNA-105</t>
  </si>
  <si>
    <t>HOJA HELICOIDAL PFNA *105mm ACERO</t>
  </si>
  <si>
    <t>PFNA-110</t>
  </si>
  <si>
    <t>HOJA HELICOIDAL PFNA *110mm ACERO</t>
  </si>
  <si>
    <t>PFNA-115</t>
  </si>
  <si>
    <t>HOJA HELICOIDAL PFNA *115mm ACERO</t>
  </si>
  <si>
    <t>PFNA-120</t>
  </si>
  <si>
    <t>HOJA HELICOIDAL PFNA *120mm ACERO</t>
  </si>
  <si>
    <t>040-26</t>
  </si>
  <si>
    <t>TORNILLO DE BLOQUEO PFNA  4.9*26mm ACERO</t>
  </si>
  <si>
    <t>040-28</t>
  </si>
  <si>
    <t>TORNILLO DE BLOQUEO PFNA  4.9*28mm ACERO</t>
  </si>
  <si>
    <t>040-30</t>
  </si>
  <si>
    <t>TORNILLO DE BLOQUEO PFNA  4.9*30mm ACERO</t>
  </si>
  <si>
    <t>040-36</t>
  </si>
  <si>
    <t>TORNILLO DE BLOQUEO PFNA  4.9*36mm ACERO</t>
  </si>
  <si>
    <t>040-40</t>
  </si>
  <si>
    <t>TORNILLO DE BLOQUEO PFNA  4.9*40mm ACERO</t>
  </si>
  <si>
    <t>040-44</t>
  </si>
  <si>
    <t>TORNILLO DE BLOQUEO PFNA  4.9*44mm ACERO</t>
  </si>
  <si>
    <t>040-50</t>
  </si>
  <si>
    <t>TORNILLO DE BLOQUEO PFNA  4.9*50mm ACERO</t>
  </si>
  <si>
    <t>040-56</t>
  </si>
  <si>
    <t>TORNILLO DE BLOQUEO PFNA  4.9*56mm ACERO</t>
  </si>
  <si>
    <t>040-60</t>
  </si>
  <si>
    <t>TORNILLO DE BLOQUEO PFNA  4.9*60mm ACERO</t>
  </si>
  <si>
    <t>040-64</t>
  </si>
  <si>
    <t>TORNILLO DE BLOQUEO PFNA  4.9*64mm ACERO</t>
  </si>
  <si>
    <t>040-68</t>
  </si>
  <si>
    <t>TORNILLO DE BLOQUEO PFNA  4.9*68mm ACERO</t>
  </si>
  <si>
    <t>040-70</t>
  </si>
  <si>
    <t xml:space="preserve">TORNILLO DE BLOQUEO PFNA  4.9*70mm ACERO </t>
  </si>
  <si>
    <t>040-72</t>
  </si>
  <si>
    <t>TORNILLO DE BLOQUEO PFNA  4.9*72mm ACERO</t>
  </si>
  <si>
    <t>040-76</t>
  </si>
  <si>
    <t>TORNILLO DE BLOQUEO PFNA  4.9*76mm ACERO</t>
  </si>
  <si>
    <t>040-80</t>
  </si>
  <si>
    <t>TORNILLO DE BLOQUEO PFNA  4.9*80mm ACERO</t>
  </si>
  <si>
    <t>040-84</t>
  </si>
  <si>
    <t>TORNILLO DE BLOQUEO PFNA  4.9*84mm ACERO</t>
  </si>
  <si>
    <t>040-88</t>
  </si>
  <si>
    <t>TORNILLO DE BLOQUEO PFNA  4.9*88mm ACERO</t>
  </si>
  <si>
    <t>184.310</t>
  </si>
  <si>
    <t>210936270</t>
  </si>
  <si>
    <t xml:space="preserve">METRO DE ALAMBRE QUIRURGICO *0.6mm ACERO </t>
  </si>
  <si>
    <t>184.313</t>
  </si>
  <si>
    <t xml:space="preserve">METRO DE ALAMBRE QUIRURGICO *1.0mm ACERO </t>
  </si>
  <si>
    <t>184.301</t>
  </si>
  <si>
    <t>210936271</t>
  </si>
  <si>
    <t xml:space="preserve">METRO DE ALAMBRE QUIRURGICO *1.2mm ACERO </t>
  </si>
  <si>
    <t>184.303</t>
  </si>
  <si>
    <t>210936961</t>
  </si>
  <si>
    <t xml:space="preserve">METRO DE ALAMBRE QUIRURGICO *1.5mm ACERO </t>
  </si>
  <si>
    <t>184.305</t>
  </si>
  <si>
    <t>211037899</t>
  </si>
  <si>
    <t xml:space="preserve">METRO DE ALAMBRE QUIRURGICO *1.8mm ACERO </t>
  </si>
  <si>
    <t>184.307</t>
  </si>
  <si>
    <t>210936962</t>
  </si>
  <si>
    <t xml:space="preserve">METRO DE ALAMBRE QUIRURGICO *2.0mm ACERO </t>
  </si>
  <si>
    <t>INSTRUMENTAL PFNA ACERO N0 2</t>
  </si>
  <si>
    <t>BARRA DE ORIENTACION</t>
  </si>
  <si>
    <t>ATORNILLADOR CANULADO 4.5 mm</t>
  </si>
  <si>
    <t>ATORNILLADOR 4-5 mm</t>
  </si>
  <si>
    <t>INSTRUMENTO DE COMPRESION PARA HOJA PFNA</t>
  </si>
  <si>
    <t>TORNILLO EXTRACCION</t>
  </si>
  <si>
    <t>ACOPLAMIENTO RAPIDO MANGO EN T</t>
  </si>
  <si>
    <t>MEDIDOR DE PROFUNDIDAD</t>
  </si>
  <si>
    <t>CAMISA DE BROCA</t>
  </si>
  <si>
    <t>EXRACTOR DE TORNILLO LARGO</t>
  </si>
  <si>
    <t>EXTRACTOR DE TORNILLO PFNA</t>
  </si>
  <si>
    <t>MARTILLO DIAPAZON</t>
  </si>
  <si>
    <t>LLAVE PARA HOJA</t>
  </si>
  <si>
    <t>LLAVE DE BOLA POLIAXIAL 4.0</t>
  </si>
  <si>
    <t>BROCAS 4.0</t>
  </si>
  <si>
    <t>EJE DE DESTORNILLADOR HEXAGONAL</t>
  </si>
  <si>
    <t>CAMISAS DE PROTECCION</t>
  </si>
  <si>
    <t>CAMISAS DE BROCA</t>
  </si>
  <si>
    <t>TROCAR</t>
  </si>
  <si>
    <t xml:space="preserve">BANDEJA MEDIA </t>
  </si>
  <si>
    <t>MANGO PARA GUIA</t>
  </si>
  <si>
    <t>GUIA DE BROCA PARA BARRA DE SUJECION</t>
  </si>
  <si>
    <t>LLAVE PARA TUERCAS DE SEGURIDAD</t>
  </si>
  <si>
    <t>CONECTOR DE BARRA GUIA DISTAL</t>
  </si>
  <si>
    <t>VARILLA DE ALINEACION</t>
  </si>
  <si>
    <t>TALADRO PLANO PARA VARILLA DE FIJACION</t>
  </si>
  <si>
    <t>BARRA GUIA DISTAL</t>
  </si>
  <si>
    <t>INSERTADOR DE PASADORS DE GUIA</t>
  </si>
  <si>
    <t>PLANTILLA DE PUNTERIA PARA CABLE ANTIRROTACION 0-4-8mm</t>
  </si>
  <si>
    <t>TORNILLOS DE CONEXIÓN</t>
  </si>
  <si>
    <t>DISPOSITIVO DE ORIENTACION DISTAL</t>
  </si>
  <si>
    <t>GUIA DE BROCA PARA VARILLA DE FIJACION (PUNZON)</t>
  </si>
  <si>
    <t>BROCAPARA VARILLA DE FIJACION</t>
  </si>
  <si>
    <t>LLAVE PARA MANGO POLIAXIAL</t>
  </si>
  <si>
    <t>REAMER FLEXIBLES # 9 - 10 - 11 - 12 - 13</t>
  </si>
  <si>
    <t xml:space="preserve">BROCA ESCALONADA  HOJA HELICODAL CON TOPE </t>
  </si>
  <si>
    <t>TROCAR ROMO</t>
  </si>
  <si>
    <t>BROCA 11mm</t>
  </si>
  <si>
    <t>BRAZO DIRECCIONAL 130</t>
  </si>
  <si>
    <t>BRAZO APUNTADOR</t>
  </si>
  <si>
    <t>MANGO DE INSERCION DE CLAVO</t>
  </si>
  <si>
    <t>TORNILLO SUJECION DE CLAVO</t>
  </si>
  <si>
    <t>PROTECTOR PARTES BLANDAS</t>
  </si>
  <si>
    <t>LLAVE DE PUNTA POLIAXIAL</t>
  </si>
  <si>
    <t>REGLA RADIOGRAFICA</t>
  </si>
  <si>
    <t>PINES ROSCADOS</t>
  </si>
  <si>
    <t>PINES LISOS</t>
  </si>
  <si>
    <t>GRIFA 4.8</t>
  </si>
  <si>
    <t>BROCA CANULADA</t>
  </si>
  <si>
    <t>MANGO ANCLAJE RAPIDO PARA LLAVE POLIAXIAL</t>
  </si>
  <si>
    <t>CAMISA DE PROTECCION 20mm</t>
  </si>
  <si>
    <t>MANGUITO DE PASADOR DE GUIA</t>
  </si>
  <si>
    <t>LLAVE PEQUEÑA 4.5</t>
  </si>
  <si>
    <t>PUNZON, GUIA Y CAMISA PARA HOJA HELICOIDAL</t>
  </si>
  <si>
    <t>INICIADOR CANULADO</t>
  </si>
  <si>
    <t>GUIAS LARGAS</t>
  </si>
  <si>
    <t xml:space="preserve">PINZA CORTADORA </t>
  </si>
  <si>
    <t>INSTRUMENTAL BASICO 4.5  # 2</t>
  </si>
  <si>
    <t>DESCRIPCION</t>
  </si>
  <si>
    <t>SEPARADORES HIBS</t>
  </si>
  <si>
    <t>SEPARADORES BENNET</t>
  </si>
  <si>
    <t>SEPARADORES HOMMAN MEDIANOS</t>
  </si>
  <si>
    <t>SEPARADORES HOMMAN CURVOS</t>
  </si>
  <si>
    <t>SEPARADORES HOMMAN FINOS</t>
  </si>
  <si>
    <t>DESPERIO</t>
  </si>
  <si>
    <t>OSTEOTOMO</t>
  </si>
  <si>
    <t>CURETA</t>
  </si>
  <si>
    <t>PINZAS REDUCTORAS CANGREJO ARANDELA</t>
  </si>
  <si>
    <t>PINZAVERBRUGUER ARANDELA</t>
  </si>
  <si>
    <t>GUBIA</t>
  </si>
  <si>
    <t>PINZA EN PUNTA GRANDE</t>
  </si>
  <si>
    <t>MARTILLO</t>
  </si>
  <si>
    <t>MANGO TORQUE NEGRO</t>
  </si>
  <si>
    <t>ATORNILLADOR 4.5</t>
  </si>
  <si>
    <t>MOTOR CANULADO DORADO #1</t>
  </si>
  <si>
    <t>BATERIAS GRIS  # 7 # 8</t>
  </si>
  <si>
    <t xml:space="preserve">JHONATAN RIVAS </t>
  </si>
  <si>
    <t xml:space="preserve">11:00AM </t>
  </si>
  <si>
    <t xml:space="preserve">CLINICA URDENOR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</si>
</sst>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$&quot;\ * #,##0.00_-;\-&quot;$&quot;\ * #,##0.00_-;_-&quot;$&quot;\ * &quot;-&quot;??_-;_-@_-"/>
    <numFmt numFmtId="165" formatCode="_ &quot;$&quot;* #,##0.00_ ;_ &quot;$&quot;* \-#,##0.00_ ;_ &quot;$&quot;* &quot;-&quot;??_ ;_ @_ "/>
    <numFmt numFmtId="166" formatCode="_(&quot;$&quot;* #,##0.00_);_(&quot;$&quot;* \(#,##0.00\);_(&quot;$&quot;* &quot;-&quot;??_);_(@_)"/>
    <numFmt numFmtId="167" formatCode="[$-F800]dddd\,\ mmmm\ dd\,\ yyyy"/>
    <numFmt numFmtId="168" formatCode="_ &quot;$&quot;* #,##0_ ;_ &quot;$&quot;* \-#,##0_ ;_ &quot;$&quot;* &quot;-&quot;_ ;_ @_ "/>
    <numFmt numFmtId="169" formatCode="&quot;$&quot;#,##0.0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u/>
      <sz val="14"/>
      <color theme="1"/>
      <name val="Arial"/>
      <family val="2"/>
    </font>
    <font>
      <b/>
      <u/>
      <sz val="18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9"/>
      <color indexed="81"/>
      <name val="Tahoma"/>
      <family val="2"/>
    </font>
    <font>
      <b/>
      <sz val="13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2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rgb="FF0070C0"/>
      <name val="Arial"/>
      <family val="2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4"/>
      <color theme="1"/>
      <name val="Arial"/>
      <family val="2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6" tint="0.59999389629810485"/>
        <bgColor indexed="0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6">
    <xf numFmtId="0" fontId="0" fillId="0" borderId="0"/>
    <xf numFmtId="0" fontId="3" fillId="0" borderId="0"/>
    <xf numFmtId="166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3" fillId="0" borderId="0"/>
    <xf numFmtId="0" fontId="3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</cellStyleXfs>
  <cellXfs count="120">
    <xf numFmtId="0" fontId="0" fillId="0" borderId="0" xfId="0"/>
    <xf numFmtId="0" fontId="0" fillId="0" borderId="5" xfId="0" applyBorder="1" applyProtection="1">
      <protection locked="0"/>
    </xf>
    <xf numFmtId="0" fontId="0" fillId="0" borderId="6" xfId="0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7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Protection="1">
      <protection locked="0"/>
    </xf>
    <xf numFmtId="14" fontId="20" fillId="0" borderId="1" xfId="0" applyNumberFormat="1" applyFont="1" applyBorder="1" applyAlignment="1" applyProtection="1">
      <alignment vertical="center" wrapText="1"/>
      <protection locked="0"/>
    </xf>
    <xf numFmtId="0" fontId="22" fillId="6" borderId="1" xfId="0" applyFont="1" applyFill="1" applyBorder="1" applyAlignment="1" applyProtection="1">
      <alignment horizontal="center" vertical="center"/>
      <protection locked="0"/>
    </xf>
    <xf numFmtId="0" fontId="4" fillId="0" borderId="8" xfId="1" applyFont="1" applyBorder="1" applyProtection="1">
      <protection locked="0"/>
    </xf>
    <xf numFmtId="0" fontId="4" fillId="0" borderId="9" xfId="1" applyFont="1" applyBorder="1" applyProtection="1">
      <protection locked="0"/>
    </xf>
    <xf numFmtId="0" fontId="5" fillId="0" borderId="0" xfId="1" applyFon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4" fillId="0" borderId="0" xfId="1" applyFont="1" applyProtection="1">
      <protection locked="0"/>
    </xf>
    <xf numFmtId="0" fontId="8" fillId="3" borderId="0" xfId="0" applyFont="1" applyFill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8" fillId="3" borderId="0" xfId="0" applyFont="1" applyFill="1" applyAlignment="1" applyProtection="1">
      <alignment vertical="center" wrapText="1"/>
      <protection locked="0"/>
    </xf>
    <xf numFmtId="49" fontId="9" fillId="0" borderId="1" xfId="0" applyNumberFormat="1" applyFont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vertical="center"/>
      <protection locked="0"/>
    </xf>
    <xf numFmtId="49" fontId="9" fillId="2" borderId="1" xfId="0" applyNumberFormat="1" applyFont="1" applyFill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vertical="center" wrapText="1"/>
      <protection locked="0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20" fontId="9" fillId="0" borderId="1" xfId="0" applyNumberFormat="1" applyFont="1" applyBorder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49" fontId="18" fillId="0" borderId="1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7" fillId="0" borderId="0" xfId="0" applyFont="1" applyAlignment="1" applyProtection="1">
      <alignment wrapText="1"/>
      <protection locked="0"/>
    </xf>
    <xf numFmtId="0" fontId="7" fillId="0" borderId="0" xfId="0" applyFont="1" applyAlignment="1" applyProtection="1">
      <alignment horizontal="left"/>
      <protection locked="0"/>
    </xf>
    <xf numFmtId="0" fontId="23" fillId="0" borderId="0" xfId="0" applyFont="1"/>
    <xf numFmtId="0" fontId="19" fillId="4" borderId="1" xfId="0" applyFont="1" applyFill="1" applyBorder="1" applyAlignment="1">
      <alignment horizontal="center" wrapText="1"/>
    </xf>
    <xf numFmtId="0" fontId="19" fillId="4" borderId="1" xfId="0" applyFont="1" applyFill="1" applyBorder="1" applyAlignment="1">
      <alignment horizontal="center"/>
    </xf>
    <xf numFmtId="0" fontId="25" fillId="8" borderId="1" xfId="0" applyFont="1" applyFill="1" applyBorder="1" applyAlignment="1" applyProtection="1">
      <alignment horizontal="center" wrapText="1" readingOrder="1"/>
      <protection locked="0"/>
    </xf>
    <xf numFmtId="0" fontId="25" fillId="8" borderId="1" xfId="0" applyFont="1" applyFill="1" applyBorder="1" applyAlignment="1" applyProtection="1">
      <alignment horizontal="center" vertical="center" wrapText="1" readingOrder="1"/>
      <protection locked="0"/>
    </xf>
    <xf numFmtId="0" fontId="26" fillId="0" borderId="1" xfId="0" applyFont="1" applyBorder="1" applyAlignment="1" applyProtection="1">
      <alignment wrapText="1" readingOrder="1"/>
      <protection locked="0"/>
    </xf>
    <xf numFmtId="169" fontId="26" fillId="0" borderId="1" xfId="7" applyNumberFormat="1" applyFont="1" applyBorder="1" applyAlignment="1">
      <alignment horizontal="right"/>
    </xf>
    <xf numFmtId="0" fontId="26" fillId="0" borderId="1" xfId="0" applyFont="1" applyBorder="1" applyAlignment="1" applyProtection="1">
      <alignment horizontal="left" wrapText="1" readingOrder="1"/>
      <protection locked="0"/>
    </xf>
    <xf numFmtId="0" fontId="1" fillId="0" borderId="1" xfId="0" applyFont="1" applyBorder="1" applyAlignment="1">
      <alignment horizontal="center"/>
    </xf>
    <xf numFmtId="0" fontId="1" fillId="2" borderId="1" xfId="0" applyFont="1" applyFill="1" applyBorder="1"/>
    <xf numFmtId="0" fontId="1" fillId="7" borderId="1" xfId="0" applyFont="1" applyFill="1" applyBorder="1"/>
    <xf numFmtId="0" fontId="1" fillId="0" borderId="1" xfId="0" applyFont="1" applyBorder="1" applyAlignment="1">
      <alignment wrapText="1"/>
    </xf>
    <xf numFmtId="0" fontId="19" fillId="0" borderId="1" xfId="0" applyFont="1" applyBorder="1" applyAlignment="1">
      <alignment horizontal="center"/>
    </xf>
    <xf numFmtId="0" fontId="26" fillId="0" borderId="1" xfId="0" applyFont="1" applyBorder="1" applyAlignment="1" applyProtection="1">
      <alignment horizontal="left" readingOrder="1"/>
      <protection locked="0"/>
    </xf>
    <xf numFmtId="0" fontId="1" fillId="0" borderId="1" xfId="0" applyFont="1" applyBorder="1"/>
    <xf numFmtId="0" fontId="26" fillId="0" borderId="0" xfId="0" applyFont="1" applyAlignment="1">
      <alignment horizontal="center" readingOrder="1"/>
    </xf>
    <xf numFmtId="0" fontId="1" fillId="0" borderId="0" xfId="0" applyFont="1" applyAlignment="1">
      <alignment horizontal="center"/>
    </xf>
    <xf numFmtId="0" fontId="26" fillId="0" borderId="0" xfId="0" applyFont="1" applyAlignment="1" applyProtection="1">
      <alignment readingOrder="1"/>
      <protection locked="0"/>
    </xf>
    <xf numFmtId="0" fontId="1" fillId="0" borderId="0" xfId="1" applyFont="1" applyAlignment="1">
      <alignment horizontal="center"/>
    </xf>
    <xf numFmtId="169" fontId="19" fillId="0" borderId="0" xfId="1" applyNumberFormat="1" applyFont="1" applyAlignment="1">
      <alignment wrapText="1"/>
    </xf>
    <xf numFmtId="0" fontId="26" fillId="0" borderId="0" xfId="0" applyFont="1"/>
    <xf numFmtId="0" fontId="19" fillId="0" borderId="0" xfId="0" applyFont="1" applyAlignment="1">
      <alignment horizontal="center"/>
    </xf>
    <xf numFmtId="0" fontId="19" fillId="0" borderId="0" xfId="0" applyFont="1"/>
    <xf numFmtId="0" fontId="19" fillId="0" borderId="10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" fillId="0" borderId="10" xfId="0" applyFont="1" applyBorder="1" applyAlignment="1">
      <alignment horizontal="center"/>
    </xf>
    <xf numFmtId="0" fontId="1" fillId="0" borderId="0" xfId="0" applyFont="1" applyAlignment="1">
      <alignment vertical="center"/>
    </xf>
    <xf numFmtId="0" fontId="25" fillId="0" borderId="0" xfId="0" applyFont="1" applyAlignment="1">
      <alignment horizontal="right" wrapText="1"/>
    </xf>
    <xf numFmtId="0" fontId="26" fillId="0" borderId="0" xfId="0" applyFont="1" applyAlignment="1">
      <alignment wrapText="1"/>
    </xf>
    <xf numFmtId="0" fontId="1" fillId="0" borderId="0" xfId="1" applyFont="1" applyAlignment="1">
      <alignment horizontal="left"/>
    </xf>
    <xf numFmtId="0" fontId="1" fillId="0" borderId="0" xfId="1" applyFont="1"/>
    <xf numFmtId="0" fontId="26" fillId="0" borderId="0" xfId="0" applyFont="1" applyProtection="1">
      <protection locked="0"/>
    </xf>
    <xf numFmtId="0" fontId="26" fillId="0" borderId="0" xfId="0" applyFont="1" applyAlignment="1">
      <alignment horizontal="left"/>
    </xf>
    <xf numFmtId="0" fontId="26" fillId="0" borderId="0" xfId="0" applyFont="1" applyAlignment="1" applyProtection="1">
      <alignment horizontal="left"/>
      <protection locked="0"/>
    </xf>
    <xf numFmtId="169" fontId="1" fillId="0" borderId="1" xfId="12" applyNumberFormat="1" applyFont="1" applyBorder="1" applyAlignment="1">
      <alignment horizontal="right"/>
    </xf>
    <xf numFmtId="169" fontId="19" fillId="0" borderId="0" xfId="12" applyNumberFormat="1" applyFont="1" applyBorder="1" applyAlignment="1"/>
    <xf numFmtId="0" fontId="1" fillId="0" borderId="3" xfId="0" applyFont="1" applyBorder="1"/>
    <xf numFmtId="0" fontId="1" fillId="0" borderId="0" xfId="0" applyFont="1"/>
    <xf numFmtId="169" fontId="13" fillId="0" borderId="1" xfId="13" applyNumberFormat="1" applyFont="1" applyBorder="1" applyAlignment="1"/>
    <xf numFmtId="169" fontId="24" fillId="0" borderId="0" xfId="1" applyNumberFormat="1" applyFont="1" applyAlignment="1">
      <alignment wrapText="1"/>
    </xf>
    <xf numFmtId="169" fontId="24" fillId="0" borderId="0" xfId="1" applyNumberFormat="1" applyFont="1"/>
    <xf numFmtId="0" fontId="8" fillId="3" borderId="0" xfId="0" applyFont="1" applyFill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left" vertical="center"/>
      <protection locked="0"/>
    </xf>
    <xf numFmtId="0" fontId="19" fillId="0" borderId="4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 vertical="center"/>
      <protection locked="0"/>
    </xf>
    <xf numFmtId="0" fontId="12" fillId="2" borderId="1" xfId="0" applyFont="1" applyFill="1" applyBorder="1" applyAlignment="1">
      <alignment horizontal="center"/>
    </xf>
    <xf numFmtId="0" fontId="7" fillId="2" borderId="1" xfId="0" applyFont="1" applyFill="1" applyBorder="1"/>
    <xf numFmtId="0" fontId="7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12" fillId="0" borderId="1" xfId="0" applyFont="1" applyBorder="1" applyAlignment="1">
      <alignment horizontal="left"/>
    </xf>
    <xf numFmtId="0" fontId="13" fillId="0" borderId="1" xfId="0" applyFont="1" applyBorder="1" applyAlignment="1">
      <alignment horizontal="center"/>
    </xf>
    <xf numFmtId="0" fontId="28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left" wrapText="1"/>
    </xf>
    <xf numFmtId="0" fontId="7" fillId="0" borderId="0" xfId="0" applyFont="1" applyProtection="1">
      <protection locked="0"/>
    </xf>
    <xf numFmtId="0" fontId="26" fillId="0" borderId="0" xfId="0" applyFont="1" applyAlignment="1">
      <alignment horizontal="center" readingOrder="1"/>
    </xf>
    <xf numFmtId="0" fontId="1" fillId="0" borderId="0" xfId="0" applyFont="1" applyAlignment="1">
      <alignment horizontal="center"/>
    </xf>
    <xf numFmtId="0" fontId="26" fillId="0" borderId="0" xfId="0" applyFont="1" applyAlignment="1" applyProtection="1">
      <alignment readingOrder="1"/>
      <protection locked="0"/>
    </xf>
    <xf numFmtId="0" fontId="1" fillId="0" borderId="0" xfId="1" applyFont="1" applyAlignment="1">
      <alignment horizontal="center"/>
    </xf>
    <xf numFmtId="169" fontId="19" fillId="0" borderId="0" xfId="1" applyNumberFormat="1" applyFont="1" applyAlignment="1">
      <alignment wrapText="1"/>
    </xf>
    <xf numFmtId="169" fontId="19" fillId="0" borderId="0" xfId="12" applyNumberFormat="1" applyFont="1" applyBorder="1" applyAlignment="1"/>
    <xf numFmtId="49" fontId="12" fillId="5" borderId="1" xfId="0" applyNumberFormat="1" applyFont="1" applyFill="1" applyBorder="1" applyAlignment="1">
      <alignment horizontal="center"/>
    </xf>
    <xf numFmtId="49" fontId="12" fillId="2" borderId="1" xfId="0" applyNumberFormat="1" applyFont="1" applyFill="1" applyBorder="1" applyAlignment="1">
      <alignment horizontal="center"/>
    </xf>
    <xf numFmtId="0" fontId="12" fillId="0" borderId="1" xfId="0" applyFont="1" applyBorder="1" applyAlignment="1">
      <alignment horizontal="left" wrapText="1"/>
    </xf>
    <xf numFmtId="0" fontId="12" fillId="0" borderId="1" xfId="0" applyFont="1" applyBorder="1" applyAlignment="1">
      <alignment horizontal="center"/>
    </xf>
    <xf numFmtId="0" fontId="12" fillId="5" borderId="1" xfId="0" applyFont="1" applyFill="1" applyBorder="1" applyAlignment="1">
      <alignment horizontal="left"/>
    </xf>
    <xf numFmtId="1" fontId="12" fillId="5" borderId="1" xfId="0" applyNumberFormat="1" applyFont="1" applyFill="1" applyBorder="1" applyAlignment="1">
      <alignment horizontal="center"/>
    </xf>
    <xf numFmtId="0" fontId="12" fillId="2" borderId="1" xfId="0" applyFont="1" applyFill="1" applyBorder="1" applyAlignment="1">
      <alignment horizontal="left"/>
    </xf>
    <xf numFmtId="0" fontId="12" fillId="2" borderId="1" xfId="0" applyFont="1" applyFill="1" applyBorder="1" applyAlignment="1">
      <alignment horizontal="center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0" fontId="27" fillId="0" borderId="1" xfId="0" applyFont="1" applyBorder="1" applyAlignment="1">
      <alignment horizontal="center"/>
    </xf>
    <xf numFmtId="0" fontId="27" fillId="0" borderId="1" xfId="0" applyFont="1" applyBorder="1" applyAlignment="1">
      <alignment horizontal="left" wrapText="1"/>
    </xf>
    <xf numFmtId="0" fontId="0" fillId="0" borderId="1" xfId="0" applyBorder="1"/>
    <xf numFmtId="0" fontId="9" fillId="0" borderId="0" xfId="0" applyFont="1"/>
    <xf numFmtId="0" fontId="29" fillId="0" borderId="0" xfId="0" applyFont="1" applyAlignment="1">
      <alignment horizontal="center"/>
    </xf>
    <xf numFmtId="0" fontId="29" fillId="0" borderId="1" xfId="0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30" fillId="0" borderId="1" xfId="0" applyFont="1" applyBorder="1"/>
  </cellXfs>
  <cellStyles count="16">
    <cellStyle name="Moneda [0] 2" xfId="9" xr:uid="{00000000-0005-0000-0000-000000000000}"/>
    <cellStyle name="Moneda 2" xfId="3" xr:uid="{00000000-0005-0000-0000-000001000000}"/>
    <cellStyle name="Moneda 3" xfId="11" xr:uid="{00000000-0005-0000-0000-000002000000}"/>
    <cellStyle name="Moneda 3 2" xfId="2" xr:uid="{00000000-0005-0000-0000-000003000000}"/>
    <cellStyle name="Moneda 3 2 2" xfId="6" xr:uid="{00000000-0005-0000-0000-000004000000}"/>
    <cellStyle name="Moneda 3 2 3" xfId="7" xr:uid="{00000000-0005-0000-0000-000005000000}"/>
    <cellStyle name="Moneda 4" xfId="8" xr:uid="{00000000-0005-0000-0000-000006000000}"/>
    <cellStyle name="Moneda 5" xfId="10" xr:uid="{00000000-0005-0000-0000-000007000000}"/>
    <cellStyle name="Moneda 6" xfId="12" xr:uid="{00000000-0005-0000-0000-000008000000}"/>
    <cellStyle name="Moneda 7" xfId="13" xr:uid="{00000000-0005-0000-0000-000009000000}"/>
    <cellStyle name="Moneda 8" xfId="14" xr:uid="{43F26D17-D8F2-4A2C-8161-34CFAB956D8D}"/>
    <cellStyle name="Moneda 9" xfId="15" xr:uid="{61145BE7-F75C-48CE-9B8B-6E25D0092AD1}"/>
    <cellStyle name="Normal" xfId="0" builtinId="0"/>
    <cellStyle name="Normal 2" xfId="1" xr:uid="{00000000-0005-0000-0000-00000B000000}"/>
    <cellStyle name="Normal 3" xfId="5" xr:uid="{00000000-0005-0000-0000-00000C000000}"/>
    <cellStyle name="Normal 3 2" xfId="4" xr:uid="{00000000-0005-0000-0000-00000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6882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2" name="Mar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72005" y="236426"/>
          <a:ext cx="1723004" cy="375896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O230"/>
  <sheetViews>
    <sheetView showGridLines="0" tabSelected="1" zoomScale="80" zoomScaleNormal="80" zoomScaleSheetLayoutView="100" zoomScalePageLayoutView="80" workbookViewId="0">
      <pane xSplit="2" ySplit="5" topLeftCell="C201" activePane="bottomRight" state="frozen"/>
      <selection pane="topRight" activeCell="C1" sqref="C1"/>
      <selection pane="bottomLeft" activeCell="A6" sqref="A6"/>
      <selection pane="bottomRight" sqref="A1:E214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6" style="37" customWidth="1"/>
    <col min="3" max="3" width="86.7109375" style="36" bestFit="1" customWidth="1"/>
    <col min="4" max="4" width="19.85546875" style="36" customWidth="1"/>
    <col min="5" max="5" width="16.5703125" style="36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14.140625" style="10" bestFit="1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85" t="s">
        <v>24</v>
      </c>
      <c r="D2" s="83" t="s">
        <v>23</v>
      </c>
      <c r="E2" s="83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85"/>
      <c r="D3" s="9" t="s">
        <v>26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84" t="s">
        <v>25</v>
      </c>
      <c r="D4" s="9" t="s">
        <v>33</v>
      </c>
      <c r="E4" s="11">
        <v>44979</v>
      </c>
      <c r="F4" s="3"/>
      <c r="G4" s="10"/>
      <c r="H4" s="10"/>
      <c r="I4" s="12">
        <v>62</v>
      </c>
      <c r="J4" s="10"/>
      <c r="K4" s="10"/>
      <c r="L4" s="5"/>
    </row>
    <row r="5" spans="1:15" s="6" customFormat="1" ht="27.75" customHeight="1" x14ac:dyDescent="0.35">
      <c r="A5" s="13"/>
      <c r="B5" s="14"/>
      <c r="C5" s="84"/>
      <c r="D5" s="9" t="s">
        <v>34</v>
      </c>
      <c r="E5" s="11">
        <v>46075</v>
      </c>
      <c r="F5" s="15"/>
      <c r="G5" s="10"/>
      <c r="H5" s="10"/>
      <c r="I5" s="10"/>
      <c r="J5" s="10"/>
      <c r="K5" s="10"/>
      <c r="L5" s="15"/>
      <c r="M5" s="82"/>
      <c r="N5" s="82"/>
      <c r="O5" s="10"/>
    </row>
    <row r="6" spans="1:15" ht="20.100000000000001" customHeight="1" x14ac:dyDescent="0.25">
      <c r="A6" s="17"/>
      <c r="B6" s="17"/>
      <c r="C6" s="17"/>
      <c r="D6" s="17"/>
      <c r="E6" s="17"/>
      <c r="M6" s="82"/>
      <c r="N6" s="82"/>
    </row>
    <row r="7" spans="1:15" ht="20.100000000000001" customHeight="1" x14ac:dyDescent="0.2">
      <c r="A7" s="18" t="s">
        <v>0</v>
      </c>
      <c r="B7" s="18"/>
      <c r="C7" s="26">
        <v>45047</v>
      </c>
      <c r="D7" s="18" t="s">
        <v>1</v>
      </c>
      <c r="E7" s="19">
        <v>20230500488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25" t="s">
        <v>285</v>
      </c>
      <c r="D9" s="21" t="s">
        <v>3</v>
      </c>
      <c r="E9" s="22"/>
      <c r="M9" s="16"/>
      <c r="N9" s="16"/>
    </row>
    <row r="10" spans="1:15" ht="9" customHeight="1" x14ac:dyDescent="0.25">
      <c r="A10" s="20"/>
      <c r="B10" s="20"/>
      <c r="C10" s="20"/>
      <c r="D10" s="20"/>
      <c r="E10" s="20"/>
      <c r="M10" s="16"/>
      <c r="N10" s="16"/>
    </row>
    <row r="11" spans="1:15" ht="20.100000000000001" customHeight="1" x14ac:dyDescent="0.2">
      <c r="A11" s="80" t="s">
        <v>21</v>
      </c>
      <c r="B11" s="81"/>
      <c r="C11" s="23" t="s">
        <v>287</v>
      </c>
      <c r="D11" s="21" t="s">
        <v>22</v>
      </c>
      <c r="E11" s="24" t="s">
        <v>29</v>
      </c>
      <c r="M11" s="16"/>
      <c r="N11" s="16"/>
    </row>
    <row r="12" spans="1:15" ht="9.75" customHeight="1" x14ac:dyDescent="0.25">
      <c r="A12" s="20"/>
      <c r="B12" s="20"/>
      <c r="C12" s="20"/>
      <c r="D12" s="20"/>
      <c r="E12" s="20"/>
      <c r="M12" s="16"/>
      <c r="N12" s="16"/>
    </row>
    <row r="13" spans="1:15" ht="20.100000000000001" customHeight="1" x14ac:dyDescent="0.2">
      <c r="A13" s="18" t="s">
        <v>4</v>
      </c>
      <c r="B13" s="18"/>
      <c r="C13" s="25" t="s">
        <v>28</v>
      </c>
      <c r="D13" s="21" t="s">
        <v>5</v>
      </c>
      <c r="E13" s="23" t="s">
        <v>27</v>
      </c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111">
        <v>45047</v>
      </c>
      <c r="D15" s="21" t="s">
        <v>7</v>
      </c>
      <c r="E15" s="27" t="s">
        <v>286</v>
      </c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8</v>
      </c>
      <c r="B17" s="18"/>
      <c r="C17" s="23" t="s">
        <v>30</v>
      </c>
      <c r="D17" s="28"/>
      <c r="E17" s="29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9</v>
      </c>
      <c r="B19" s="18"/>
      <c r="C19" s="23"/>
      <c r="D19" s="21" t="s">
        <v>19</v>
      </c>
      <c r="E19" s="27"/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20</v>
      </c>
      <c r="B21" s="18"/>
      <c r="C21" s="30"/>
      <c r="D21" s="31"/>
      <c r="E21" s="32"/>
      <c r="M21" s="16"/>
      <c r="N21" s="16"/>
    </row>
    <row r="22" spans="1:14" ht="11.25" customHeight="1" x14ac:dyDescent="0.2">
      <c r="A22" s="33"/>
      <c r="B22" s="34"/>
      <c r="C22" s="33"/>
      <c r="D22" s="33"/>
      <c r="E22" s="33"/>
      <c r="G22" s="35"/>
      <c r="H22" s="35"/>
    </row>
    <row r="23" spans="1:14" ht="35.25" customHeight="1" x14ac:dyDescent="0.25">
      <c r="A23" s="39" t="s">
        <v>10</v>
      </c>
      <c r="B23" s="40" t="s">
        <v>11</v>
      </c>
      <c r="C23" s="40" t="s">
        <v>12</v>
      </c>
      <c r="D23" s="40" t="s">
        <v>13</v>
      </c>
      <c r="E23" s="40" t="s">
        <v>14</v>
      </c>
      <c r="F23" s="41" t="s">
        <v>35</v>
      </c>
      <c r="G23" s="42" t="s">
        <v>36</v>
      </c>
    </row>
    <row r="24" spans="1:14" ht="20.100000000000001" customHeight="1" x14ac:dyDescent="0.2">
      <c r="A24" s="86" t="s">
        <v>64</v>
      </c>
      <c r="B24" s="86">
        <v>210227931</v>
      </c>
      <c r="C24" s="87" t="s">
        <v>65</v>
      </c>
      <c r="D24" s="88">
        <v>1</v>
      </c>
      <c r="E24" s="43"/>
      <c r="F24" s="44">
        <v>1</v>
      </c>
      <c r="G24" s="44">
        <v>1</v>
      </c>
    </row>
    <row r="25" spans="1:14" ht="20.100000000000001" customHeight="1" x14ac:dyDescent="0.2">
      <c r="A25" s="86" t="s">
        <v>66</v>
      </c>
      <c r="B25" s="86">
        <v>221255016</v>
      </c>
      <c r="C25" s="87" t="s">
        <v>67</v>
      </c>
      <c r="D25" s="88">
        <v>1</v>
      </c>
      <c r="E25" s="43"/>
      <c r="F25" s="44">
        <v>1</v>
      </c>
      <c r="G25" s="44">
        <v>1</v>
      </c>
    </row>
    <row r="26" spans="1:14" ht="20.100000000000001" customHeight="1" x14ac:dyDescent="0.2">
      <c r="A26" s="86" t="s">
        <v>68</v>
      </c>
      <c r="B26" s="86">
        <v>210227933</v>
      </c>
      <c r="C26" s="87" t="s">
        <v>69</v>
      </c>
      <c r="D26" s="88">
        <v>1</v>
      </c>
      <c r="E26" s="43"/>
      <c r="F26" s="44">
        <v>1</v>
      </c>
      <c r="G26" s="44">
        <v>2</v>
      </c>
    </row>
    <row r="27" spans="1:14" ht="20.100000000000001" customHeight="1" x14ac:dyDescent="0.2">
      <c r="A27" s="86" t="s">
        <v>70</v>
      </c>
      <c r="B27" s="86">
        <v>211139526</v>
      </c>
      <c r="C27" s="87" t="s">
        <v>71</v>
      </c>
      <c r="D27" s="88">
        <v>1</v>
      </c>
      <c r="E27" s="43"/>
      <c r="F27" s="44">
        <v>1</v>
      </c>
      <c r="G27" s="44">
        <v>1</v>
      </c>
    </row>
    <row r="28" spans="1:14" ht="20.100000000000001" customHeight="1" x14ac:dyDescent="0.2">
      <c r="A28" s="86" t="s">
        <v>72</v>
      </c>
      <c r="B28" s="86">
        <v>220647962</v>
      </c>
      <c r="C28" s="87" t="s">
        <v>73</v>
      </c>
      <c r="D28" s="88">
        <v>1</v>
      </c>
      <c r="E28" s="43"/>
      <c r="F28" s="44">
        <v>1</v>
      </c>
      <c r="G28" s="44">
        <v>5</v>
      </c>
    </row>
    <row r="29" spans="1:14" ht="20.100000000000001" customHeight="1" x14ac:dyDescent="0.2">
      <c r="A29" s="86" t="s">
        <v>74</v>
      </c>
      <c r="B29" s="86">
        <v>221052547</v>
      </c>
      <c r="C29" s="87" t="s">
        <v>75</v>
      </c>
      <c r="D29" s="88">
        <v>1</v>
      </c>
      <c r="E29" s="43"/>
      <c r="F29" s="44">
        <v>1</v>
      </c>
      <c r="G29" s="44">
        <v>1</v>
      </c>
    </row>
    <row r="30" spans="1:14" ht="20.100000000000001" customHeight="1" x14ac:dyDescent="0.2">
      <c r="A30" s="86" t="s">
        <v>76</v>
      </c>
      <c r="B30" s="86">
        <v>221052548</v>
      </c>
      <c r="C30" s="87" t="s">
        <v>77</v>
      </c>
      <c r="D30" s="88">
        <v>1</v>
      </c>
      <c r="E30" s="45"/>
      <c r="F30" s="44">
        <v>1</v>
      </c>
      <c r="G30" s="44">
        <v>1</v>
      </c>
    </row>
    <row r="31" spans="1:14" ht="20.100000000000001" customHeight="1" x14ac:dyDescent="0.2">
      <c r="A31" s="86" t="s">
        <v>78</v>
      </c>
      <c r="B31" s="86">
        <v>221255020</v>
      </c>
      <c r="C31" s="87" t="s">
        <v>79</v>
      </c>
      <c r="D31" s="88">
        <v>1</v>
      </c>
      <c r="E31" s="45"/>
      <c r="F31" s="44">
        <v>1</v>
      </c>
      <c r="G31" s="44">
        <v>2</v>
      </c>
    </row>
    <row r="32" spans="1:14" ht="20.100000000000001" customHeight="1" x14ac:dyDescent="0.2">
      <c r="A32" s="86" t="s">
        <v>80</v>
      </c>
      <c r="B32" s="86">
        <v>221255021</v>
      </c>
      <c r="C32" s="87" t="s">
        <v>81</v>
      </c>
      <c r="D32" s="88">
        <v>1</v>
      </c>
      <c r="E32" s="45"/>
      <c r="F32" s="44">
        <v>1</v>
      </c>
      <c r="G32" s="44">
        <v>1</v>
      </c>
    </row>
    <row r="33" spans="1:7" ht="20.100000000000001" customHeight="1" x14ac:dyDescent="0.2">
      <c r="A33" s="86" t="s">
        <v>82</v>
      </c>
      <c r="B33" s="86">
        <v>210227939</v>
      </c>
      <c r="C33" s="87" t="s">
        <v>83</v>
      </c>
      <c r="D33" s="88">
        <v>1</v>
      </c>
      <c r="E33" s="45"/>
      <c r="F33" s="44">
        <v>1</v>
      </c>
      <c r="G33" s="44">
        <v>5</v>
      </c>
    </row>
    <row r="34" spans="1:7" ht="20.100000000000001" customHeight="1" x14ac:dyDescent="0.2">
      <c r="A34" s="86" t="s">
        <v>84</v>
      </c>
      <c r="B34" s="86">
        <v>210227940</v>
      </c>
      <c r="C34" s="87" t="s">
        <v>85</v>
      </c>
      <c r="D34" s="88">
        <v>1</v>
      </c>
      <c r="E34" s="45"/>
      <c r="F34" s="44">
        <v>1</v>
      </c>
      <c r="G34" s="44">
        <v>2</v>
      </c>
    </row>
    <row r="35" spans="1:7" ht="20.100000000000001" customHeight="1" x14ac:dyDescent="0.2">
      <c r="A35" s="86" t="s">
        <v>86</v>
      </c>
      <c r="B35" s="86">
        <v>221052546</v>
      </c>
      <c r="C35" s="87" t="s">
        <v>87</v>
      </c>
      <c r="D35" s="88">
        <v>1</v>
      </c>
      <c r="E35" s="45"/>
      <c r="F35" s="44">
        <v>1</v>
      </c>
      <c r="G35" s="44">
        <v>2</v>
      </c>
    </row>
    <row r="36" spans="1:7" ht="20.100000000000001" customHeight="1" x14ac:dyDescent="0.2">
      <c r="A36" s="86" t="s">
        <v>88</v>
      </c>
      <c r="B36" s="86">
        <v>210227942</v>
      </c>
      <c r="C36" s="87" t="s">
        <v>89</v>
      </c>
      <c r="D36" s="88">
        <v>1</v>
      </c>
      <c r="E36" s="45"/>
      <c r="F36" s="44">
        <v>1</v>
      </c>
      <c r="G36" s="44">
        <v>2</v>
      </c>
    </row>
    <row r="37" spans="1:7" ht="20.100000000000001" customHeight="1" x14ac:dyDescent="0.25">
      <c r="A37" s="86"/>
      <c r="B37" s="86"/>
      <c r="C37" s="87"/>
      <c r="D37" s="89">
        <f>SUM(D24:D36)</f>
        <v>13</v>
      </c>
      <c r="E37" s="45"/>
      <c r="F37" s="44">
        <v>1</v>
      </c>
      <c r="G37" s="44">
        <v>2</v>
      </c>
    </row>
    <row r="38" spans="1:7" ht="20.100000000000001" customHeight="1" x14ac:dyDescent="0.2">
      <c r="A38" s="86" t="s">
        <v>90</v>
      </c>
      <c r="B38" s="86">
        <v>210228003</v>
      </c>
      <c r="C38" s="87" t="s">
        <v>91</v>
      </c>
      <c r="D38" s="88">
        <v>1</v>
      </c>
      <c r="E38" s="45"/>
      <c r="F38" s="44">
        <v>1</v>
      </c>
      <c r="G38" s="44">
        <v>1</v>
      </c>
    </row>
    <row r="39" spans="1:7" ht="20.100000000000001" customHeight="1" x14ac:dyDescent="0.2">
      <c r="A39" s="86" t="s">
        <v>92</v>
      </c>
      <c r="B39" s="86">
        <v>210228005</v>
      </c>
      <c r="C39" s="87" t="s">
        <v>93</v>
      </c>
      <c r="D39" s="88">
        <v>1</v>
      </c>
      <c r="E39" s="45"/>
      <c r="F39" s="44">
        <v>1</v>
      </c>
      <c r="G39" s="44">
        <v>1</v>
      </c>
    </row>
    <row r="40" spans="1:7" ht="20.100000000000001" customHeight="1" x14ac:dyDescent="0.2">
      <c r="A40" s="86" t="s">
        <v>94</v>
      </c>
      <c r="B40" s="86">
        <v>210228004</v>
      </c>
      <c r="C40" s="87" t="s">
        <v>95</v>
      </c>
      <c r="D40" s="88">
        <v>1</v>
      </c>
      <c r="E40" s="45"/>
      <c r="F40" s="44">
        <v>1</v>
      </c>
      <c r="G40" s="44">
        <v>10</v>
      </c>
    </row>
    <row r="41" spans="1:7" ht="20.100000000000001" customHeight="1" x14ac:dyDescent="0.2">
      <c r="A41" s="86" t="s">
        <v>96</v>
      </c>
      <c r="B41" s="86">
        <v>210228006</v>
      </c>
      <c r="C41" s="87" t="s">
        <v>97</v>
      </c>
      <c r="D41" s="88">
        <v>1</v>
      </c>
      <c r="E41" s="45"/>
      <c r="F41" s="44">
        <v>1</v>
      </c>
      <c r="G41" s="44">
        <v>2</v>
      </c>
    </row>
    <row r="42" spans="1:7" ht="20.100000000000001" customHeight="1" x14ac:dyDescent="0.2">
      <c r="A42" s="86" t="s">
        <v>98</v>
      </c>
      <c r="B42" s="86">
        <v>210227995</v>
      </c>
      <c r="C42" s="87" t="s">
        <v>99</v>
      </c>
      <c r="D42" s="88">
        <v>1</v>
      </c>
      <c r="E42" s="47"/>
      <c r="F42" s="44">
        <v>1</v>
      </c>
      <c r="G42" s="44">
        <v>1</v>
      </c>
    </row>
    <row r="43" spans="1:7" ht="20.100000000000001" customHeight="1" x14ac:dyDescent="0.2">
      <c r="A43" s="86" t="s">
        <v>100</v>
      </c>
      <c r="B43" s="86">
        <v>210227998</v>
      </c>
      <c r="C43" s="87" t="s">
        <v>101</v>
      </c>
      <c r="D43" s="88">
        <v>1</v>
      </c>
      <c r="E43" s="48"/>
      <c r="F43" s="44">
        <v>1</v>
      </c>
      <c r="G43" s="44">
        <v>2</v>
      </c>
    </row>
    <row r="44" spans="1:7" ht="20.100000000000001" customHeight="1" x14ac:dyDescent="0.2">
      <c r="A44" s="86" t="s">
        <v>102</v>
      </c>
      <c r="B44" s="86">
        <v>210227996</v>
      </c>
      <c r="C44" s="87" t="s">
        <v>103</v>
      </c>
      <c r="D44" s="88">
        <v>1</v>
      </c>
      <c r="E44" s="48"/>
      <c r="F44" s="44">
        <v>1</v>
      </c>
      <c r="G44" s="44">
        <v>2</v>
      </c>
    </row>
    <row r="45" spans="1:7" ht="20.100000000000001" customHeight="1" x14ac:dyDescent="0.2">
      <c r="A45" s="86" t="s">
        <v>104</v>
      </c>
      <c r="B45" s="86">
        <v>210227999</v>
      </c>
      <c r="C45" s="87" t="s">
        <v>105</v>
      </c>
      <c r="D45" s="88">
        <v>1</v>
      </c>
      <c r="E45" s="48"/>
      <c r="F45" s="44">
        <v>1</v>
      </c>
      <c r="G45" s="44">
        <v>1</v>
      </c>
    </row>
    <row r="46" spans="1:7" ht="20.100000000000001" customHeight="1" x14ac:dyDescent="0.2">
      <c r="A46" s="86" t="s">
        <v>106</v>
      </c>
      <c r="B46" s="86">
        <v>210228000</v>
      </c>
      <c r="C46" s="87" t="s">
        <v>107</v>
      </c>
      <c r="D46" s="88">
        <v>1</v>
      </c>
      <c r="E46" s="48"/>
      <c r="F46" s="44">
        <v>1</v>
      </c>
      <c r="G46" s="44">
        <v>1</v>
      </c>
    </row>
    <row r="47" spans="1:7" ht="20.100000000000001" customHeight="1" x14ac:dyDescent="0.2">
      <c r="A47" s="86" t="s">
        <v>108</v>
      </c>
      <c r="B47" s="86">
        <v>210228000</v>
      </c>
      <c r="C47" s="87" t="s">
        <v>109</v>
      </c>
      <c r="D47" s="88">
        <v>1</v>
      </c>
      <c r="E47" s="48"/>
      <c r="F47" s="44">
        <v>1</v>
      </c>
      <c r="G47" s="44">
        <v>9</v>
      </c>
    </row>
    <row r="48" spans="1:7" ht="20.100000000000001" customHeight="1" x14ac:dyDescent="0.25">
      <c r="A48" s="86"/>
      <c r="B48" s="86"/>
      <c r="C48" s="87"/>
      <c r="D48" s="89">
        <f>SUM(D38:D47)</f>
        <v>10</v>
      </c>
      <c r="E48" s="48"/>
      <c r="F48" s="44"/>
      <c r="G48" s="44"/>
    </row>
    <row r="49" spans="1:7" ht="20.100000000000001" customHeight="1" x14ac:dyDescent="0.2">
      <c r="A49" s="86" t="s">
        <v>110</v>
      </c>
      <c r="B49" s="86">
        <v>210228007</v>
      </c>
      <c r="C49" s="87" t="s">
        <v>111</v>
      </c>
      <c r="D49" s="88">
        <v>1</v>
      </c>
      <c r="E49" s="48"/>
      <c r="F49" s="44">
        <v>1</v>
      </c>
      <c r="G49" s="44">
        <v>1</v>
      </c>
    </row>
    <row r="50" spans="1:7" ht="20.100000000000001" customHeight="1" x14ac:dyDescent="0.2">
      <c r="A50" s="86" t="s">
        <v>112</v>
      </c>
      <c r="B50" s="86">
        <v>210228009</v>
      </c>
      <c r="C50" s="87" t="s">
        <v>113</v>
      </c>
      <c r="D50" s="88">
        <v>1</v>
      </c>
      <c r="E50" s="48"/>
      <c r="F50" s="44">
        <v>1</v>
      </c>
      <c r="G50" s="44">
        <v>1</v>
      </c>
    </row>
    <row r="51" spans="1:7" ht="20.100000000000001" customHeight="1" x14ac:dyDescent="0.2">
      <c r="A51" s="86" t="s">
        <v>114</v>
      </c>
      <c r="B51" s="86">
        <v>210228008</v>
      </c>
      <c r="C51" s="87" t="s">
        <v>115</v>
      </c>
      <c r="D51" s="88">
        <v>1</v>
      </c>
      <c r="E51" s="48"/>
      <c r="F51" s="44">
        <v>1</v>
      </c>
      <c r="G51" s="44">
        <v>1</v>
      </c>
    </row>
    <row r="52" spans="1:7" ht="20.100000000000001" customHeight="1" x14ac:dyDescent="0.2">
      <c r="A52" s="86" t="s">
        <v>116</v>
      </c>
      <c r="B52" s="86">
        <v>210228010</v>
      </c>
      <c r="C52" s="87" t="s">
        <v>117</v>
      </c>
      <c r="D52" s="88">
        <v>1</v>
      </c>
      <c r="E52" s="49"/>
      <c r="F52" s="44">
        <v>1</v>
      </c>
      <c r="G52" s="44">
        <v>0</v>
      </c>
    </row>
    <row r="53" spans="1:7" ht="20.100000000000001" customHeight="1" x14ac:dyDescent="0.2">
      <c r="A53" s="86" t="s">
        <v>118</v>
      </c>
      <c r="B53" s="86">
        <v>210228182</v>
      </c>
      <c r="C53" s="87" t="s">
        <v>119</v>
      </c>
      <c r="D53" s="88">
        <v>1</v>
      </c>
      <c r="E53" s="49"/>
      <c r="F53" s="44">
        <v>1</v>
      </c>
      <c r="G53" s="44">
        <v>1</v>
      </c>
    </row>
    <row r="54" spans="1:7" ht="20.100000000000001" customHeight="1" x14ac:dyDescent="0.2">
      <c r="A54" s="86" t="s">
        <v>120</v>
      </c>
      <c r="B54" s="86">
        <v>210228001</v>
      </c>
      <c r="C54" s="87" t="s">
        <v>121</v>
      </c>
      <c r="D54" s="88">
        <v>1</v>
      </c>
      <c r="E54" s="49"/>
      <c r="F54" s="44">
        <v>1</v>
      </c>
      <c r="G54" s="44">
        <v>1</v>
      </c>
    </row>
    <row r="55" spans="1:7" ht="20.100000000000001" customHeight="1" x14ac:dyDescent="0.2">
      <c r="A55" s="86" t="s">
        <v>122</v>
      </c>
      <c r="B55" s="86">
        <v>210228181</v>
      </c>
      <c r="C55" s="87" t="s">
        <v>123</v>
      </c>
      <c r="D55" s="88">
        <v>1</v>
      </c>
      <c r="E55" s="49"/>
      <c r="F55" s="44">
        <v>1</v>
      </c>
      <c r="G55" s="44">
        <v>1</v>
      </c>
    </row>
    <row r="56" spans="1:7" ht="20.100000000000001" customHeight="1" x14ac:dyDescent="0.2">
      <c r="A56" s="86" t="s">
        <v>124</v>
      </c>
      <c r="B56" s="86">
        <v>210228002</v>
      </c>
      <c r="C56" s="87" t="s">
        <v>125</v>
      </c>
      <c r="D56" s="88">
        <v>1</v>
      </c>
      <c r="E56" s="49"/>
      <c r="F56" s="44">
        <v>1</v>
      </c>
      <c r="G56" s="44">
        <v>7</v>
      </c>
    </row>
    <row r="57" spans="1:7" ht="20.100000000000001" customHeight="1" x14ac:dyDescent="0.2">
      <c r="A57" s="86" t="s">
        <v>126</v>
      </c>
      <c r="B57" s="86">
        <v>210227997</v>
      </c>
      <c r="C57" s="87" t="s">
        <v>127</v>
      </c>
      <c r="D57" s="88">
        <v>1</v>
      </c>
      <c r="E57" s="49"/>
      <c r="F57" s="44">
        <v>1</v>
      </c>
      <c r="G57" s="44">
        <v>1</v>
      </c>
    </row>
    <row r="58" spans="1:7" ht="20.100000000000001" customHeight="1" x14ac:dyDescent="0.2">
      <c r="A58" s="86" t="s">
        <v>128</v>
      </c>
      <c r="B58" s="86">
        <v>210228177</v>
      </c>
      <c r="C58" s="87" t="s">
        <v>129</v>
      </c>
      <c r="D58" s="88">
        <v>1</v>
      </c>
      <c r="E58" s="49"/>
      <c r="F58" s="44">
        <v>1</v>
      </c>
      <c r="G58" s="44">
        <v>1</v>
      </c>
    </row>
    <row r="59" spans="1:7" ht="20.100000000000001" customHeight="1" x14ac:dyDescent="0.2">
      <c r="A59" s="86" t="s">
        <v>130</v>
      </c>
      <c r="B59" s="86">
        <v>210328875</v>
      </c>
      <c r="C59" s="87" t="s">
        <v>131</v>
      </c>
      <c r="D59" s="88">
        <v>1</v>
      </c>
      <c r="E59" s="49"/>
      <c r="F59" s="44">
        <v>1</v>
      </c>
      <c r="G59" s="44">
        <v>1</v>
      </c>
    </row>
    <row r="60" spans="1:7" ht="20.100000000000001" customHeight="1" x14ac:dyDescent="0.2">
      <c r="A60" s="86" t="s">
        <v>132</v>
      </c>
      <c r="B60" s="86">
        <v>210228180</v>
      </c>
      <c r="C60" s="87" t="s">
        <v>133</v>
      </c>
      <c r="D60" s="88">
        <v>1</v>
      </c>
      <c r="E60" s="49"/>
      <c r="F60" s="44">
        <v>1</v>
      </c>
      <c r="G60" s="44">
        <v>1</v>
      </c>
    </row>
    <row r="61" spans="1:7" ht="20.100000000000001" customHeight="1" x14ac:dyDescent="0.2">
      <c r="A61" s="86" t="s">
        <v>134</v>
      </c>
      <c r="B61" s="86">
        <v>210228178</v>
      </c>
      <c r="C61" s="87" t="s">
        <v>135</v>
      </c>
      <c r="D61" s="88">
        <v>1</v>
      </c>
      <c r="E61" s="49"/>
      <c r="F61" s="44">
        <v>1</v>
      </c>
      <c r="G61" s="44">
        <v>1</v>
      </c>
    </row>
    <row r="62" spans="1:7" ht="20.100000000000001" customHeight="1" x14ac:dyDescent="0.2">
      <c r="A62" s="86" t="s">
        <v>136</v>
      </c>
      <c r="B62" s="86">
        <v>210228179</v>
      </c>
      <c r="C62" s="87" t="s">
        <v>137</v>
      </c>
      <c r="D62" s="88">
        <v>1</v>
      </c>
      <c r="E62" s="49"/>
      <c r="F62" s="44">
        <v>1</v>
      </c>
      <c r="G62" s="44">
        <v>1</v>
      </c>
    </row>
    <row r="63" spans="1:7" ht="20.100000000000001" customHeight="1" x14ac:dyDescent="0.25">
      <c r="A63" s="86"/>
      <c r="B63" s="86"/>
      <c r="C63" s="87"/>
      <c r="D63" s="89">
        <f>SUM(D49:D62)</f>
        <v>14</v>
      </c>
      <c r="E63" s="49"/>
      <c r="F63" s="44">
        <v>1</v>
      </c>
      <c r="G63" s="44">
        <v>6</v>
      </c>
    </row>
    <row r="64" spans="1:7" ht="20.100000000000001" customHeight="1" x14ac:dyDescent="0.2">
      <c r="A64" s="86" t="s">
        <v>138</v>
      </c>
      <c r="B64" s="86">
        <v>210328864</v>
      </c>
      <c r="C64" s="87" t="s">
        <v>139</v>
      </c>
      <c r="D64" s="88">
        <v>1</v>
      </c>
      <c r="E64" s="49"/>
      <c r="F64" s="44">
        <v>1</v>
      </c>
      <c r="G64" s="44">
        <v>1</v>
      </c>
    </row>
    <row r="65" spans="1:7" ht="20.100000000000001" customHeight="1" x14ac:dyDescent="0.2">
      <c r="A65" s="86" t="s">
        <v>140</v>
      </c>
      <c r="B65" s="86">
        <v>210328865</v>
      </c>
      <c r="C65" s="87" t="s">
        <v>141</v>
      </c>
      <c r="D65" s="88">
        <v>1</v>
      </c>
      <c r="E65" s="49"/>
      <c r="F65" s="44">
        <v>1</v>
      </c>
      <c r="G65" s="44">
        <v>1</v>
      </c>
    </row>
    <row r="66" spans="1:7" ht="20.100000000000001" customHeight="1" x14ac:dyDescent="0.2">
      <c r="A66" s="86" t="s">
        <v>142</v>
      </c>
      <c r="B66" s="86">
        <v>210328866</v>
      </c>
      <c r="C66" s="87" t="s">
        <v>143</v>
      </c>
      <c r="D66" s="88">
        <v>1</v>
      </c>
      <c r="E66" s="49"/>
      <c r="F66" s="44">
        <v>1</v>
      </c>
      <c r="G66" s="44">
        <v>1</v>
      </c>
    </row>
    <row r="67" spans="1:7" ht="20.100000000000001" customHeight="1" x14ac:dyDescent="0.2">
      <c r="A67" s="86" t="s">
        <v>144</v>
      </c>
      <c r="B67" s="86">
        <v>221255053</v>
      </c>
      <c r="C67" s="87" t="s">
        <v>145</v>
      </c>
      <c r="D67" s="88">
        <v>1</v>
      </c>
      <c r="E67" s="49"/>
      <c r="F67" s="44">
        <v>1</v>
      </c>
      <c r="G67" s="44">
        <v>1</v>
      </c>
    </row>
    <row r="68" spans="1:7" ht="20.100000000000001" customHeight="1" x14ac:dyDescent="0.2">
      <c r="A68" s="86" t="s">
        <v>146</v>
      </c>
      <c r="B68" s="86">
        <v>221255054</v>
      </c>
      <c r="C68" s="87" t="s">
        <v>147</v>
      </c>
      <c r="D68" s="88">
        <v>1</v>
      </c>
      <c r="E68" s="49"/>
      <c r="F68" s="44">
        <v>1</v>
      </c>
      <c r="G68" s="44">
        <v>4</v>
      </c>
    </row>
    <row r="69" spans="1:7" ht="20.100000000000001" customHeight="1" x14ac:dyDescent="0.2">
      <c r="A69" s="86" t="s">
        <v>148</v>
      </c>
      <c r="B69" s="86">
        <v>210328869</v>
      </c>
      <c r="C69" s="87" t="s">
        <v>149</v>
      </c>
      <c r="D69" s="88">
        <v>1</v>
      </c>
      <c r="E69" s="49"/>
      <c r="F69" s="44">
        <v>1</v>
      </c>
      <c r="G69" s="44">
        <v>0</v>
      </c>
    </row>
    <row r="70" spans="1:7" ht="20.100000000000001" customHeight="1" x14ac:dyDescent="0.2">
      <c r="A70" s="86" t="s">
        <v>150</v>
      </c>
      <c r="B70" s="86">
        <v>210328870</v>
      </c>
      <c r="C70" s="87" t="s">
        <v>151</v>
      </c>
      <c r="D70" s="88">
        <v>1</v>
      </c>
      <c r="E70" s="49"/>
      <c r="F70" s="44">
        <v>1</v>
      </c>
      <c r="G70" s="44">
        <v>1</v>
      </c>
    </row>
    <row r="71" spans="1:7" ht="20.100000000000001" customHeight="1" x14ac:dyDescent="0.2">
      <c r="A71" s="86" t="s">
        <v>152</v>
      </c>
      <c r="B71" s="86">
        <v>210328871</v>
      </c>
      <c r="C71" s="87" t="s">
        <v>153</v>
      </c>
      <c r="D71" s="88">
        <v>1</v>
      </c>
      <c r="E71" s="49"/>
      <c r="F71" s="44">
        <v>1</v>
      </c>
      <c r="G71" s="44">
        <v>1</v>
      </c>
    </row>
    <row r="72" spans="1:7" ht="20.100000000000001" customHeight="1" x14ac:dyDescent="0.2">
      <c r="A72" s="86" t="s">
        <v>154</v>
      </c>
      <c r="B72" s="86">
        <v>210328872</v>
      </c>
      <c r="C72" s="87" t="s">
        <v>155</v>
      </c>
      <c r="D72" s="88">
        <v>1</v>
      </c>
      <c r="E72" s="49"/>
      <c r="F72" s="44">
        <v>1</v>
      </c>
      <c r="G72" s="44">
        <v>0</v>
      </c>
    </row>
    <row r="73" spans="1:7" ht="20.100000000000001" customHeight="1" x14ac:dyDescent="0.2">
      <c r="A73" s="86" t="s">
        <v>156</v>
      </c>
      <c r="B73" s="86">
        <v>210328873</v>
      </c>
      <c r="C73" s="87" t="s">
        <v>157</v>
      </c>
      <c r="D73" s="88">
        <v>1</v>
      </c>
      <c r="E73" s="49"/>
      <c r="F73" s="44">
        <v>1</v>
      </c>
      <c r="G73" s="44">
        <v>1</v>
      </c>
    </row>
    <row r="74" spans="1:7" ht="20.100000000000001" customHeight="1" x14ac:dyDescent="0.25">
      <c r="A74" s="86"/>
      <c r="B74" s="86"/>
      <c r="C74" s="87"/>
      <c r="D74" s="89">
        <f>SUM(D64:D73)</f>
        <v>10</v>
      </c>
      <c r="E74" s="49"/>
      <c r="F74" s="44"/>
      <c r="G74" s="44"/>
    </row>
    <row r="75" spans="1:7" ht="20.100000000000001" customHeight="1" x14ac:dyDescent="0.2">
      <c r="A75" s="86" t="s">
        <v>158</v>
      </c>
      <c r="B75" s="86">
        <v>190703782</v>
      </c>
      <c r="C75" s="87" t="s">
        <v>159</v>
      </c>
      <c r="D75" s="88">
        <v>2</v>
      </c>
      <c r="E75" s="49"/>
      <c r="F75" s="44">
        <v>1</v>
      </c>
      <c r="G75" s="44">
        <v>4</v>
      </c>
    </row>
    <row r="76" spans="1:7" ht="20.100000000000001" customHeight="1" x14ac:dyDescent="0.2">
      <c r="A76" s="86" t="s">
        <v>160</v>
      </c>
      <c r="B76" s="86">
        <v>190703782</v>
      </c>
      <c r="C76" s="87" t="s">
        <v>161</v>
      </c>
      <c r="D76" s="88">
        <v>2</v>
      </c>
      <c r="E76" s="49"/>
      <c r="F76" s="44">
        <v>1</v>
      </c>
      <c r="G76" s="44">
        <v>2</v>
      </c>
    </row>
    <row r="77" spans="1:7" ht="20.100000000000001" customHeight="1" x14ac:dyDescent="0.2">
      <c r="A77" s="86" t="s">
        <v>162</v>
      </c>
      <c r="B77" s="86">
        <v>200821741</v>
      </c>
      <c r="C77" s="87" t="s">
        <v>163</v>
      </c>
      <c r="D77" s="88">
        <v>2</v>
      </c>
      <c r="E77" s="51"/>
      <c r="F77" s="73">
        <v>1</v>
      </c>
      <c r="G77" s="44">
        <v>2</v>
      </c>
    </row>
    <row r="78" spans="1:7" ht="20.100000000000001" customHeight="1" x14ac:dyDescent="0.2">
      <c r="A78" s="86" t="s">
        <v>164</v>
      </c>
      <c r="B78" s="86">
        <v>210227628</v>
      </c>
      <c r="C78" s="87" t="s">
        <v>165</v>
      </c>
      <c r="D78" s="88">
        <v>2</v>
      </c>
      <c r="E78" s="51"/>
      <c r="F78" s="73">
        <v>1</v>
      </c>
      <c r="G78" s="44">
        <v>2</v>
      </c>
    </row>
    <row r="79" spans="1:7" ht="20.100000000000001" customHeight="1" x14ac:dyDescent="0.2">
      <c r="A79" s="86" t="s">
        <v>166</v>
      </c>
      <c r="B79" s="86">
        <v>200821743</v>
      </c>
      <c r="C79" s="87" t="s">
        <v>167</v>
      </c>
      <c r="D79" s="88">
        <v>2</v>
      </c>
      <c r="E79" s="51"/>
      <c r="F79" s="73">
        <v>1</v>
      </c>
      <c r="G79" s="44">
        <v>2</v>
      </c>
    </row>
    <row r="80" spans="1:7" ht="20.100000000000001" customHeight="1" x14ac:dyDescent="0.2">
      <c r="A80" s="86" t="s">
        <v>168</v>
      </c>
      <c r="B80" s="86">
        <v>210227629</v>
      </c>
      <c r="C80" s="87" t="s">
        <v>169</v>
      </c>
      <c r="D80" s="88">
        <v>2</v>
      </c>
      <c r="E80" s="51"/>
      <c r="F80" s="73">
        <v>1</v>
      </c>
      <c r="G80" s="44">
        <v>2</v>
      </c>
    </row>
    <row r="81" spans="1:7" ht="20.100000000000001" customHeight="1" x14ac:dyDescent="0.2">
      <c r="A81" s="86" t="s">
        <v>170</v>
      </c>
      <c r="B81" s="86">
        <v>200821745</v>
      </c>
      <c r="C81" s="87" t="s">
        <v>171</v>
      </c>
      <c r="D81" s="88">
        <v>2</v>
      </c>
      <c r="E81" s="51"/>
      <c r="F81" s="73">
        <v>1</v>
      </c>
      <c r="G81" s="44">
        <v>2</v>
      </c>
    </row>
    <row r="82" spans="1:7" ht="20.100000000000001" customHeight="1" x14ac:dyDescent="0.2">
      <c r="A82" s="86" t="s">
        <v>172</v>
      </c>
      <c r="B82" s="86">
        <v>190703798</v>
      </c>
      <c r="C82" s="87" t="s">
        <v>173</v>
      </c>
      <c r="D82" s="88">
        <v>2</v>
      </c>
      <c r="E82" s="51"/>
      <c r="F82" s="73">
        <v>1</v>
      </c>
      <c r="G82" s="44">
        <v>2</v>
      </c>
    </row>
    <row r="83" spans="1:7" ht="20.100000000000001" customHeight="1" x14ac:dyDescent="0.2">
      <c r="A83" s="86" t="s">
        <v>174</v>
      </c>
      <c r="B83" s="86">
        <v>200821747</v>
      </c>
      <c r="C83" s="87" t="s">
        <v>175</v>
      </c>
      <c r="D83" s="88">
        <v>2</v>
      </c>
      <c r="E83" s="51"/>
      <c r="F83" s="73">
        <v>1</v>
      </c>
      <c r="G83" s="44">
        <v>2</v>
      </c>
    </row>
    <row r="84" spans="1:7" ht="20.100000000000001" customHeight="1" x14ac:dyDescent="0.2">
      <c r="A84" s="86" t="s">
        <v>176</v>
      </c>
      <c r="B84" s="86">
        <v>210227630</v>
      </c>
      <c r="C84" s="87" t="s">
        <v>177</v>
      </c>
      <c r="D84" s="88">
        <v>2</v>
      </c>
      <c r="E84" s="51"/>
      <c r="F84" s="73"/>
      <c r="G84" s="44"/>
    </row>
    <row r="85" spans="1:7" ht="20.100000000000001" customHeight="1" x14ac:dyDescent="0.2">
      <c r="A85" s="86" t="s">
        <v>178</v>
      </c>
      <c r="B85" s="86">
        <v>210227631</v>
      </c>
      <c r="C85" s="87" t="s">
        <v>179</v>
      </c>
      <c r="D85" s="88">
        <v>2</v>
      </c>
      <c r="E85" s="51"/>
      <c r="F85" s="73">
        <v>1</v>
      </c>
      <c r="G85" s="44">
        <v>2</v>
      </c>
    </row>
    <row r="86" spans="1:7" ht="20.100000000000001" customHeight="1" x14ac:dyDescent="0.2">
      <c r="A86" s="86" t="s">
        <v>180</v>
      </c>
      <c r="B86" s="86">
        <v>201022960</v>
      </c>
      <c r="C86" s="87" t="s">
        <v>181</v>
      </c>
      <c r="D86" s="88">
        <v>2</v>
      </c>
      <c r="E86" s="51"/>
      <c r="F86" s="73"/>
      <c r="G86" s="44"/>
    </row>
    <row r="87" spans="1:7" ht="20.100000000000001" customHeight="1" x14ac:dyDescent="0.2">
      <c r="A87" s="86" t="s">
        <v>182</v>
      </c>
      <c r="B87" s="86">
        <v>210227632</v>
      </c>
      <c r="C87" s="87" t="s">
        <v>183</v>
      </c>
      <c r="D87" s="88">
        <v>2</v>
      </c>
      <c r="E87" s="51"/>
      <c r="F87" s="73"/>
      <c r="G87" s="44"/>
    </row>
    <row r="88" spans="1:7" ht="20.100000000000001" customHeight="1" x14ac:dyDescent="0.2">
      <c r="A88" s="86" t="s">
        <v>184</v>
      </c>
      <c r="B88" s="86">
        <v>210227633</v>
      </c>
      <c r="C88" s="87" t="s">
        <v>185</v>
      </c>
      <c r="D88" s="88">
        <v>2</v>
      </c>
      <c r="E88" s="51"/>
      <c r="F88" s="73"/>
      <c r="G88" s="44"/>
    </row>
    <row r="89" spans="1:7" ht="20.100000000000001" customHeight="1" x14ac:dyDescent="0.2">
      <c r="A89" s="86" t="s">
        <v>186</v>
      </c>
      <c r="B89" s="86">
        <v>210227635</v>
      </c>
      <c r="C89" s="87" t="s">
        <v>187</v>
      </c>
      <c r="D89" s="88">
        <v>2</v>
      </c>
      <c r="E89" s="51"/>
      <c r="F89" s="73"/>
      <c r="G89" s="44"/>
    </row>
    <row r="90" spans="1:7" ht="20.100000000000001" customHeight="1" x14ac:dyDescent="0.2">
      <c r="A90" s="86" t="s">
        <v>188</v>
      </c>
      <c r="B90" s="86">
        <v>210227636</v>
      </c>
      <c r="C90" s="87" t="s">
        <v>189</v>
      </c>
      <c r="D90" s="88">
        <v>2</v>
      </c>
      <c r="E90" s="51"/>
      <c r="F90" s="73"/>
      <c r="G90" s="44"/>
    </row>
    <row r="91" spans="1:7" ht="20.100000000000001" customHeight="1" x14ac:dyDescent="0.2">
      <c r="A91" s="86" t="s">
        <v>190</v>
      </c>
      <c r="B91" s="86">
        <v>210227637</v>
      </c>
      <c r="C91" s="87" t="s">
        <v>191</v>
      </c>
      <c r="D91" s="88">
        <v>2</v>
      </c>
      <c r="E91" s="51"/>
      <c r="F91" s="73"/>
      <c r="G91" s="44"/>
    </row>
    <row r="92" spans="1:7" ht="20.100000000000001" customHeight="1" x14ac:dyDescent="0.25">
      <c r="A92" s="86"/>
      <c r="B92" s="86"/>
      <c r="C92" s="87"/>
      <c r="D92" s="89">
        <f>SUM(D75:D91)</f>
        <v>34</v>
      </c>
      <c r="E92" s="51"/>
      <c r="F92" s="73"/>
      <c r="G92" s="44"/>
    </row>
    <row r="93" spans="1:7" ht="20.100000000000001" customHeight="1" x14ac:dyDescent="0.2">
      <c r="A93" s="103" t="s">
        <v>192</v>
      </c>
      <c r="B93" s="103" t="s">
        <v>193</v>
      </c>
      <c r="C93" s="107" t="s">
        <v>194</v>
      </c>
      <c r="D93" s="106">
        <v>1</v>
      </c>
      <c r="E93" s="51"/>
      <c r="F93" s="73"/>
      <c r="G93" s="44"/>
    </row>
    <row r="94" spans="1:7" ht="20.100000000000001" customHeight="1" x14ac:dyDescent="0.2">
      <c r="A94" s="103" t="s">
        <v>195</v>
      </c>
      <c r="B94" s="103" t="s">
        <v>193</v>
      </c>
      <c r="C94" s="107" t="s">
        <v>196</v>
      </c>
      <c r="D94" s="108">
        <v>0</v>
      </c>
      <c r="E94" s="51"/>
      <c r="F94" s="73"/>
      <c r="G94" s="44"/>
    </row>
    <row r="95" spans="1:7" ht="20.100000000000001" customHeight="1" x14ac:dyDescent="0.2">
      <c r="A95" s="104" t="s">
        <v>197</v>
      </c>
      <c r="B95" s="104" t="s">
        <v>198</v>
      </c>
      <c r="C95" s="109" t="s">
        <v>199</v>
      </c>
      <c r="D95" s="110">
        <v>1</v>
      </c>
      <c r="E95" s="51"/>
      <c r="F95" s="73"/>
      <c r="G95" s="44"/>
    </row>
    <row r="96" spans="1:7" ht="20.100000000000001" customHeight="1" x14ac:dyDescent="0.2">
      <c r="A96" s="103" t="s">
        <v>200</v>
      </c>
      <c r="B96" s="103" t="s">
        <v>201</v>
      </c>
      <c r="C96" s="107" t="s">
        <v>202</v>
      </c>
      <c r="D96" s="110">
        <v>1</v>
      </c>
      <c r="E96" s="51"/>
      <c r="F96" s="73"/>
      <c r="G96" s="44"/>
    </row>
    <row r="97" spans="1:7" ht="20.100000000000001" customHeight="1" x14ac:dyDescent="0.2">
      <c r="A97" s="104" t="s">
        <v>203</v>
      </c>
      <c r="B97" s="104" t="s">
        <v>204</v>
      </c>
      <c r="C97" s="109" t="s">
        <v>205</v>
      </c>
      <c r="D97" s="110">
        <v>1</v>
      </c>
      <c r="E97" s="51"/>
      <c r="F97" s="73"/>
      <c r="G97" s="44"/>
    </row>
    <row r="98" spans="1:7" ht="20.100000000000001" customHeight="1" x14ac:dyDescent="0.2">
      <c r="A98" s="103" t="s">
        <v>206</v>
      </c>
      <c r="B98" s="103" t="s">
        <v>207</v>
      </c>
      <c r="C98" s="107" t="s">
        <v>208</v>
      </c>
      <c r="D98" s="110">
        <v>0</v>
      </c>
      <c r="E98" s="51"/>
      <c r="F98" s="73"/>
      <c r="G98" s="44"/>
    </row>
    <row r="99" spans="1:7" ht="20.100000000000001" customHeight="1" x14ac:dyDescent="0.25">
      <c r="A99" s="53"/>
      <c r="B99" s="54"/>
      <c r="C99" s="55"/>
      <c r="D99" s="56"/>
      <c r="E99" s="55"/>
      <c r="F99" s="79" t="s">
        <v>37</v>
      </c>
      <c r="G99" s="77">
        <f>SUM(G24:G98)</f>
        <v>116</v>
      </c>
    </row>
    <row r="100" spans="1:7" ht="20.100000000000001" customHeight="1" x14ac:dyDescent="0.25">
      <c r="A100" s="53"/>
      <c r="B100" s="54"/>
      <c r="C100" s="55"/>
      <c r="D100" s="56"/>
      <c r="E100" s="55"/>
      <c r="F100" s="78" t="s">
        <v>38</v>
      </c>
      <c r="G100" s="77">
        <f>G99*12/100</f>
        <v>13.92</v>
      </c>
    </row>
    <row r="101" spans="1:7" ht="20.100000000000001" customHeight="1" x14ac:dyDescent="0.25">
      <c r="A101" s="53"/>
      <c r="B101" s="54"/>
      <c r="C101" s="55"/>
      <c r="D101" s="56"/>
      <c r="E101" s="55"/>
      <c r="F101" s="78" t="s">
        <v>39</v>
      </c>
      <c r="G101" s="77">
        <f>SUM(G99:G100)</f>
        <v>129.91999999999999</v>
      </c>
    </row>
    <row r="102" spans="1:7" ht="20.100000000000001" customHeight="1" x14ac:dyDescent="0.25">
      <c r="A102" s="53"/>
      <c r="B102" s="54"/>
      <c r="C102" s="55"/>
      <c r="D102" s="56"/>
      <c r="E102" s="55"/>
      <c r="F102" s="57"/>
      <c r="G102" s="74"/>
    </row>
    <row r="103" spans="1:7" s="96" customFormat="1" ht="20.100000000000001" customHeight="1" x14ac:dyDescent="0.25">
      <c r="A103" s="97"/>
      <c r="B103" s="92"/>
      <c r="C103" s="93" t="s">
        <v>209</v>
      </c>
      <c r="D103" s="100"/>
      <c r="E103" s="99"/>
      <c r="F103" s="101"/>
      <c r="G103" s="102"/>
    </row>
    <row r="104" spans="1:7" s="96" customFormat="1" ht="20.100000000000001" customHeight="1" x14ac:dyDescent="0.25">
      <c r="A104" s="97"/>
      <c r="B104" s="91" t="s">
        <v>31</v>
      </c>
      <c r="C104" s="91" t="s">
        <v>60</v>
      </c>
      <c r="D104" s="100"/>
      <c r="E104" s="99"/>
      <c r="F104" s="101"/>
      <c r="G104" s="102"/>
    </row>
    <row r="105" spans="1:7" s="96" customFormat="1" ht="20.100000000000001" customHeight="1" x14ac:dyDescent="0.25">
      <c r="A105" s="97"/>
      <c r="B105" s="106"/>
      <c r="C105" s="91" t="s">
        <v>61</v>
      </c>
      <c r="D105" s="100"/>
      <c r="E105" s="99"/>
      <c r="F105" s="101"/>
      <c r="G105" s="102"/>
    </row>
    <row r="106" spans="1:7" s="96" customFormat="1" ht="20.100000000000001" customHeight="1" x14ac:dyDescent="0.25">
      <c r="A106" s="97"/>
      <c r="B106" s="106">
        <v>1</v>
      </c>
      <c r="C106" s="90" t="s">
        <v>210</v>
      </c>
      <c r="D106" s="100"/>
      <c r="E106" s="99"/>
      <c r="F106" s="101"/>
      <c r="G106" s="102"/>
    </row>
    <row r="107" spans="1:7" s="96" customFormat="1" ht="20.100000000000001" customHeight="1" x14ac:dyDescent="0.25">
      <c r="A107" s="97"/>
      <c r="B107" s="110">
        <v>1</v>
      </c>
      <c r="C107" s="95" t="s">
        <v>211</v>
      </c>
      <c r="D107" s="100"/>
      <c r="E107" s="99"/>
      <c r="F107" s="101"/>
      <c r="G107" s="102"/>
    </row>
    <row r="108" spans="1:7" s="96" customFormat="1" ht="20.100000000000001" customHeight="1" x14ac:dyDescent="0.25">
      <c r="A108" s="97"/>
      <c r="B108" s="110">
        <v>1</v>
      </c>
      <c r="C108" s="95" t="s">
        <v>212</v>
      </c>
      <c r="D108" s="100"/>
      <c r="E108" s="99"/>
      <c r="F108" s="101"/>
      <c r="G108" s="102"/>
    </row>
    <row r="109" spans="1:7" s="96" customFormat="1" ht="20.100000000000001" customHeight="1" x14ac:dyDescent="0.25">
      <c r="A109" s="97"/>
      <c r="B109" s="106">
        <v>1</v>
      </c>
      <c r="C109" s="90" t="s">
        <v>213</v>
      </c>
      <c r="D109" s="100"/>
      <c r="E109" s="99"/>
      <c r="F109" s="101"/>
      <c r="G109" s="102"/>
    </row>
    <row r="110" spans="1:7" s="96" customFormat="1" ht="20.100000000000001" customHeight="1" x14ac:dyDescent="0.25">
      <c r="A110" s="97"/>
      <c r="B110" s="106">
        <v>1</v>
      </c>
      <c r="C110" s="90" t="s">
        <v>214</v>
      </c>
      <c r="D110" s="100"/>
      <c r="E110" s="99"/>
      <c r="F110" s="101"/>
      <c r="G110" s="102"/>
    </row>
    <row r="111" spans="1:7" s="96" customFormat="1" ht="20.100000000000001" customHeight="1" x14ac:dyDescent="0.25">
      <c r="A111" s="97"/>
      <c r="B111" s="106">
        <v>1</v>
      </c>
      <c r="C111" s="90" t="s">
        <v>215</v>
      </c>
      <c r="D111" s="100"/>
      <c r="E111" s="99"/>
      <c r="F111" s="101"/>
      <c r="G111" s="102"/>
    </row>
    <row r="112" spans="1:7" s="96" customFormat="1" ht="20.100000000000001" customHeight="1" x14ac:dyDescent="0.25">
      <c r="A112" s="97"/>
      <c r="B112" s="106">
        <v>1</v>
      </c>
      <c r="C112" s="90" t="s">
        <v>216</v>
      </c>
      <c r="D112" s="100"/>
      <c r="E112" s="99"/>
      <c r="F112" s="101"/>
      <c r="G112" s="102"/>
    </row>
    <row r="113" spans="1:7" s="96" customFormat="1" ht="20.100000000000001" customHeight="1" x14ac:dyDescent="0.25">
      <c r="A113" s="97"/>
      <c r="B113" s="106">
        <v>1</v>
      </c>
      <c r="C113" s="90" t="s">
        <v>217</v>
      </c>
      <c r="D113" s="100"/>
      <c r="E113" s="99"/>
      <c r="F113" s="101"/>
      <c r="G113" s="102"/>
    </row>
    <row r="114" spans="1:7" s="96" customFormat="1" ht="20.100000000000001" customHeight="1" x14ac:dyDescent="0.25">
      <c r="A114" s="97"/>
      <c r="B114" s="106">
        <v>1</v>
      </c>
      <c r="C114" s="90" t="s">
        <v>218</v>
      </c>
      <c r="D114" s="100"/>
      <c r="E114" s="99"/>
      <c r="F114" s="101"/>
      <c r="G114" s="102"/>
    </row>
    <row r="115" spans="1:7" s="96" customFormat="1" ht="20.100000000000001" customHeight="1" x14ac:dyDescent="0.25">
      <c r="A115" s="97"/>
      <c r="B115" s="106">
        <v>1</v>
      </c>
      <c r="C115" s="90" t="s">
        <v>219</v>
      </c>
      <c r="D115" s="100"/>
      <c r="E115" s="99"/>
      <c r="F115" s="101"/>
      <c r="G115" s="102"/>
    </row>
    <row r="116" spans="1:7" s="96" customFormat="1" ht="20.100000000000001" customHeight="1" x14ac:dyDescent="0.25">
      <c r="A116" s="97"/>
      <c r="B116" s="106">
        <v>1</v>
      </c>
      <c r="C116" s="90" t="s">
        <v>220</v>
      </c>
      <c r="D116" s="100"/>
      <c r="E116" s="99"/>
      <c r="F116" s="101"/>
      <c r="G116" s="102"/>
    </row>
    <row r="117" spans="1:7" s="96" customFormat="1" ht="20.100000000000001" customHeight="1" x14ac:dyDescent="0.25">
      <c r="A117" s="97"/>
      <c r="B117" s="106">
        <v>1</v>
      </c>
      <c r="C117" s="90" t="s">
        <v>221</v>
      </c>
      <c r="D117" s="100"/>
      <c r="E117" s="99"/>
      <c r="F117" s="101"/>
      <c r="G117" s="102"/>
    </row>
    <row r="118" spans="1:7" s="96" customFormat="1" ht="20.100000000000001" customHeight="1" x14ac:dyDescent="0.25">
      <c r="A118" s="97"/>
      <c r="B118" s="106">
        <v>1</v>
      </c>
      <c r="C118" s="90" t="s">
        <v>222</v>
      </c>
      <c r="D118" s="100"/>
      <c r="E118" s="99"/>
      <c r="F118" s="101"/>
      <c r="G118" s="102"/>
    </row>
    <row r="119" spans="1:7" s="96" customFormat="1" ht="20.100000000000001" customHeight="1" x14ac:dyDescent="0.25">
      <c r="A119" s="97"/>
      <c r="B119" s="106">
        <v>2</v>
      </c>
      <c r="C119" s="90" t="s">
        <v>223</v>
      </c>
      <c r="D119" s="100"/>
      <c r="E119" s="99"/>
      <c r="F119" s="101"/>
      <c r="G119" s="102"/>
    </row>
    <row r="120" spans="1:7" s="96" customFormat="1" ht="20.100000000000001" customHeight="1" x14ac:dyDescent="0.25">
      <c r="A120" s="97"/>
      <c r="B120" s="106">
        <v>1</v>
      </c>
      <c r="C120" s="90" t="s">
        <v>224</v>
      </c>
      <c r="D120" s="100"/>
      <c r="E120" s="99"/>
      <c r="F120" s="101"/>
      <c r="G120" s="102"/>
    </row>
    <row r="121" spans="1:7" s="96" customFormat="1" ht="20.100000000000001" customHeight="1" x14ac:dyDescent="0.25">
      <c r="A121" s="97"/>
      <c r="B121" s="106">
        <v>2</v>
      </c>
      <c r="C121" s="90" t="s">
        <v>225</v>
      </c>
      <c r="D121" s="100"/>
      <c r="E121" s="99"/>
      <c r="F121" s="101"/>
      <c r="G121" s="102"/>
    </row>
    <row r="122" spans="1:7" s="96" customFormat="1" ht="20.100000000000001" customHeight="1" x14ac:dyDescent="0.25">
      <c r="A122" s="97"/>
      <c r="B122" s="106">
        <v>2</v>
      </c>
      <c r="C122" s="90" t="s">
        <v>226</v>
      </c>
      <c r="D122" s="100"/>
      <c r="E122" s="99"/>
      <c r="F122" s="101"/>
      <c r="G122" s="102"/>
    </row>
    <row r="123" spans="1:7" s="96" customFormat="1" ht="20.100000000000001" customHeight="1" x14ac:dyDescent="0.25">
      <c r="A123" s="97"/>
      <c r="B123" s="106">
        <v>2</v>
      </c>
      <c r="C123" s="105" t="s">
        <v>227</v>
      </c>
      <c r="D123" s="100"/>
      <c r="E123" s="99"/>
      <c r="F123" s="101"/>
      <c r="G123" s="102"/>
    </row>
    <row r="124" spans="1:7" s="96" customFormat="1" ht="20.100000000000001" customHeight="1" x14ac:dyDescent="0.25">
      <c r="A124" s="97"/>
      <c r="B124" s="94">
        <f>SUM(B106:B123)</f>
        <v>22</v>
      </c>
      <c r="C124" s="105"/>
      <c r="D124" s="100"/>
      <c r="E124" s="99"/>
      <c r="F124" s="101"/>
      <c r="G124" s="102"/>
    </row>
    <row r="125" spans="1:7" s="96" customFormat="1" ht="20.100000000000001" customHeight="1" x14ac:dyDescent="0.25">
      <c r="A125" s="97"/>
      <c r="B125" s="91"/>
      <c r="C125" s="91"/>
      <c r="D125" s="100"/>
      <c r="E125" s="99"/>
      <c r="F125" s="101"/>
      <c r="G125" s="102"/>
    </row>
    <row r="126" spans="1:7" s="96" customFormat="1" ht="20.100000000000001" customHeight="1" x14ac:dyDescent="0.25">
      <c r="A126" s="97"/>
      <c r="B126" s="91"/>
      <c r="C126" s="91" t="s">
        <v>228</v>
      </c>
      <c r="D126" s="100"/>
      <c r="E126" s="99"/>
      <c r="F126" s="101"/>
      <c r="G126" s="102"/>
    </row>
    <row r="127" spans="1:7" s="96" customFormat="1" ht="20.100000000000001" customHeight="1" x14ac:dyDescent="0.25">
      <c r="A127" s="97"/>
      <c r="B127" s="106">
        <v>1</v>
      </c>
      <c r="C127" s="90" t="s">
        <v>229</v>
      </c>
      <c r="D127" s="100"/>
      <c r="E127" s="99"/>
      <c r="F127" s="101"/>
      <c r="G127" s="102"/>
    </row>
    <row r="128" spans="1:7" s="96" customFormat="1" ht="20.100000000000001" customHeight="1" x14ac:dyDescent="0.25">
      <c r="A128" s="97"/>
      <c r="B128" s="106">
        <v>1</v>
      </c>
      <c r="C128" s="90" t="s">
        <v>230</v>
      </c>
      <c r="D128" s="100"/>
      <c r="E128" s="99"/>
      <c r="F128" s="101"/>
      <c r="G128" s="102"/>
    </row>
    <row r="129" spans="1:7" s="96" customFormat="1" ht="20.100000000000001" customHeight="1" x14ac:dyDescent="0.25">
      <c r="A129" s="97"/>
      <c r="B129" s="106">
        <v>1</v>
      </c>
      <c r="C129" s="90" t="s">
        <v>231</v>
      </c>
      <c r="D129" s="100"/>
      <c r="E129" s="99"/>
      <c r="F129" s="101"/>
      <c r="G129" s="102"/>
    </row>
    <row r="130" spans="1:7" s="96" customFormat="1" ht="20.100000000000001" customHeight="1" x14ac:dyDescent="0.25">
      <c r="A130" s="97"/>
      <c r="B130" s="106">
        <v>1</v>
      </c>
      <c r="C130" s="90" t="s">
        <v>232</v>
      </c>
      <c r="D130" s="100"/>
      <c r="E130" s="99"/>
      <c r="F130" s="101"/>
      <c r="G130" s="102"/>
    </row>
    <row r="131" spans="1:7" s="96" customFormat="1" ht="20.100000000000001" customHeight="1" x14ac:dyDescent="0.25">
      <c r="A131" s="97"/>
      <c r="B131" s="106">
        <v>1</v>
      </c>
      <c r="C131" s="90" t="s">
        <v>233</v>
      </c>
      <c r="D131" s="100"/>
      <c r="E131" s="99"/>
      <c r="F131" s="101"/>
      <c r="G131" s="102"/>
    </row>
    <row r="132" spans="1:7" s="96" customFormat="1" ht="20.100000000000001" customHeight="1" x14ac:dyDescent="0.25">
      <c r="A132" s="97"/>
      <c r="B132" s="106">
        <v>1</v>
      </c>
      <c r="C132" s="90" t="s">
        <v>234</v>
      </c>
      <c r="D132" s="100"/>
      <c r="E132" s="99"/>
      <c r="F132" s="101"/>
      <c r="G132" s="102"/>
    </row>
    <row r="133" spans="1:7" s="96" customFormat="1" ht="20.100000000000001" customHeight="1" x14ac:dyDescent="0.25">
      <c r="A133" s="97"/>
      <c r="B133" s="106">
        <v>1</v>
      </c>
      <c r="C133" s="90" t="s">
        <v>235</v>
      </c>
      <c r="D133" s="100"/>
      <c r="E133" s="99"/>
      <c r="F133" s="101"/>
      <c r="G133" s="102"/>
    </row>
    <row r="134" spans="1:7" s="96" customFormat="1" ht="20.100000000000001" customHeight="1" x14ac:dyDescent="0.25">
      <c r="A134" s="97"/>
      <c r="B134" s="106">
        <v>1</v>
      </c>
      <c r="C134" s="90" t="s">
        <v>236</v>
      </c>
      <c r="D134" s="100"/>
      <c r="E134" s="99"/>
      <c r="F134" s="101"/>
      <c r="G134" s="102"/>
    </row>
    <row r="135" spans="1:7" s="96" customFormat="1" ht="20.100000000000001" customHeight="1" x14ac:dyDescent="0.25">
      <c r="A135" s="97"/>
      <c r="B135" s="106">
        <v>1</v>
      </c>
      <c r="C135" s="90" t="s">
        <v>237</v>
      </c>
      <c r="D135" s="100"/>
      <c r="E135" s="99"/>
      <c r="F135" s="101"/>
      <c r="G135" s="102"/>
    </row>
    <row r="136" spans="1:7" s="96" customFormat="1" ht="20.100000000000001" customHeight="1" x14ac:dyDescent="0.25">
      <c r="A136" s="97"/>
      <c r="B136" s="106">
        <v>3</v>
      </c>
      <c r="C136" s="90" t="s">
        <v>238</v>
      </c>
      <c r="D136" s="100"/>
      <c r="E136" s="99"/>
      <c r="F136" s="101"/>
      <c r="G136" s="102"/>
    </row>
    <row r="137" spans="1:7" s="96" customFormat="1" ht="20.100000000000001" customHeight="1" x14ac:dyDescent="0.25">
      <c r="A137" s="97"/>
      <c r="B137" s="106">
        <v>1</v>
      </c>
      <c r="C137" s="90" t="s">
        <v>239</v>
      </c>
      <c r="D137" s="100"/>
      <c r="E137" s="99"/>
      <c r="F137" s="101"/>
      <c r="G137" s="102"/>
    </row>
    <row r="138" spans="1:7" s="96" customFormat="1" ht="20.100000000000001" customHeight="1" x14ac:dyDescent="0.25">
      <c r="A138" s="97"/>
      <c r="B138" s="106">
        <v>1</v>
      </c>
      <c r="C138" s="90" t="s">
        <v>240</v>
      </c>
      <c r="D138" s="100"/>
      <c r="E138" s="99"/>
      <c r="F138" s="101"/>
      <c r="G138" s="102"/>
    </row>
    <row r="139" spans="1:7" s="96" customFormat="1" ht="20.100000000000001" customHeight="1" x14ac:dyDescent="0.25">
      <c r="A139" s="97"/>
      <c r="B139" s="106">
        <v>1</v>
      </c>
      <c r="C139" s="90" t="s">
        <v>241</v>
      </c>
      <c r="D139" s="100"/>
      <c r="E139" s="99"/>
      <c r="F139" s="101"/>
      <c r="G139" s="102"/>
    </row>
    <row r="140" spans="1:7" s="96" customFormat="1" ht="20.100000000000001" customHeight="1" x14ac:dyDescent="0.25">
      <c r="A140" s="97"/>
      <c r="B140" s="106">
        <v>1</v>
      </c>
      <c r="C140" s="90" t="s">
        <v>242</v>
      </c>
      <c r="D140" s="100"/>
      <c r="E140" s="99"/>
      <c r="F140" s="101"/>
      <c r="G140" s="102"/>
    </row>
    <row r="141" spans="1:7" s="96" customFormat="1" ht="20.100000000000001" customHeight="1" x14ac:dyDescent="0.25">
      <c r="A141" s="97"/>
      <c r="B141" s="106">
        <v>5</v>
      </c>
      <c r="C141" s="105" t="s">
        <v>243</v>
      </c>
      <c r="D141" s="100"/>
      <c r="E141" s="99"/>
      <c r="F141" s="101"/>
      <c r="G141" s="102"/>
    </row>
    <row r="142" spans="1:7" s="96" customFormat="1" ht="20.100000000000001" customHeight="1" x14ac:dyDescent="0.25">
      <c r="A142" s="97"/>
      <c r="B142" s="94">
        <f>SUM(B127:B141)</f>
        <v>21</v>
      </c>
      <c r="C142" s="90"/>
      <c r="D142" s="100"/>
      <c r="E142" s="99"/>
      <c r="F142" s="101"/>
      <c r="G142" s="102"/>
    </row>
    <row r="143" spans="1:7" s="96" customFormat="1" ht="20.100000000000001" customHeight="1" x14ac:dyDescent="0.25">
      <c r="A143" s="97"/>
      <c r="B143" s="106"/>
      <c r="C143" s="90"/>
      <c r="D143" s="100"/>
      <c r="E143" s="99"/>
      <c r="F143" s="101"/>
      <c r="G143" s="102"/>
    </row>
    <row r="144" spans="1:7" s="96" customFormat="1" ht="20.100000000000001" customHeight="1" x14ac:dyDescent="0.25">
      <c r="A144" s="97"/>
      <c r="B144" s="91"/>
      <c r="C144" s="91" t="s">
        <v>32</v>
      </c>
      <c r="D144" s="100"/>
      <c r="E144" s="99"/>
      <c r="F144" s="101"/>
      <c r="G144" s="102"/>
    </row>
    <row r="145" spans="1:7" s="96" customFormat="1" ht="20.100000000000001" customHeight="1" x14ac:dyDescent="0.25">
      <c r="A145" s="97"/>
      <c r="B145" s="106">
        <v>1</v>
      </c>
      <c r="C145" s="90" t="s">
        <v>244</v>
      </c>
      <c r="D145" s="100"/>
      <c r="E145" s="99"/>
      <c r="F145" s="101"/>
      <c r="G145" s="102"/>
    </row>
    <row r="146" spans="1:7" s="96" customFormat="1" ht="20.100000000000001" customHeight="1" x14ac:dyDescent="0.25">
      <c r="A146" s="97"/>
      <c r="B146" s="106">
        <v>1</v>
      </c>
      <c r="C146" s="90" t="s">
        <v>245</v>
      </c>
      <c r="D146" s="100"/>
      <c r="E146" s="99"/>
      <c r="F146" s="101"/>
      <c r="G146" s="102"/>
    </row>
    <row r="147" spans="1:7" s="96" customFormat="1" ht="20.100000000000001" customHeight="1" x14ac:dyDescent="0.25">
      <c r="A147" s="97"/>
      <c r="B147" s="106">
        <v>1</v>
      </c>
      <c r="C147" s="90" t="s">
        <v>246</v>
      </c>
      <c r="D147" s="100"/>
      <c r="E147" s="99"/>
      <c r="F147" s="101"/>
      <c r="G147" s="102"/>
    </row>
    <row r="148" spans="1:7" s="96" customFormat="1" ht="20.100000000000001" customHeight="1" x14ac:dyDescent="0.25">
      <c r="A148" s="97"/>
      <c r="B148" s="106">
        <v>1</v>
      </c>
      <c r="C148" s="90" t="s">
        <v>216</v>
      </c>
      <c r="D148" s="100"/>
      <c r="E148" s="99"/>
      <c r="F148" s="101"/>
      <c r="G148" s="102"/>
    </row>
    <row r="149" spans="1:7" s="96" customFormat="1" ht="20.100000000000001" customHeight="1" x14ac:dyDescent="0.25">
      <c r="A149" s="97"/>
      <c r="B149" s="106">
        <v>1</v>
      </c>
      <c r="C149" s="90" t="s">
        <v>247</v>
      </c>
      <c r="D149" s="100"/>
      <c r="E149" s="99"/>
      <c r="F149" s="101"/>
      <c r="G149" s="102"/>
    </row>
    <row r="150" spans="1:7" s="96" customFormat="1" ht="20.100000000000001" customHeight="1" x14ac:dyDescent="0.25">
      <c r="A150" s="97"/>
      <c r="B150" s="106">
        <v>1</v>
      </c>
      <c r="C150" s="90" t="s">
        <v>248</v>
      </c>
      <c r="D150" s="100"/>
      <c r="E150" s="99"/>
      <c r="F150" s="101"/>
      <c r="G150" s="102"/>
    </row>
    <row r="151" spans="1:7" s="96" customFormat="1" ht="20.100000000000001" customHeight="1" x14ac:dyDescent="0.25">
      <c r="A151" s="97"/>
      <c r="B151" s="106">
        <v>1</v>
      </c>
      <c r="C151" s="90" t="s">
        <v>249</v>
      </c>
      <c r="D151" s="100"/>
      <c r="E151" s="99"/>
      <c r="F151" s="101"/>
      <c r="G151" s="102"/>
    </row>
    <row r="152" spans="1:7" s="96" customFormat="1" ht="20.100000000000001" customHeight="1" x14ac:dyDescent="0.25">
      <c r="A152" s="97"/>
      <c r="B152" s="106">
        <v>1</v>
      </c>
      <c r="C152" s="90" t="s">
        <v>250</v>
      </c>
      <c r="D152" s="100"/>
      <c r="E152" s="99"/>
      <c r="F152" s="101"/>
      <c r="G152" s="102"/>
    </row>
    <row r="153" spans="1:7" s="96" customFormat="1" ht="20.100000000000001" customHeight="1" x14ac:dyDescent="0.25">
      <c r="A153" s="97"/>
      <c r="B153" s="106">
        <v>1</v>
      </c>
      <c r="C153" s="90" t="s">
        <v>251</v>
      </c>
      <c r="D153" s="100"/>
      <c r="E153" s="99"/>
      <c r="F153" s="101"/>
      <c r="G153" s="102"/>
    </row>
    <row r="154" spans="1:7" s="96" customFormat="1" ht="20.100000000000001" customHeight="1" x14ac:dyDescent="0.25">
      <c r="A154" s="97"/>
      <c r="B154" s="106">
        <v>1</v>
      </c>
      <c r="C154" s="90" t="s">
        <v>252</v>
      </c>
      <c r="D154" s="100"/>
      <c r="E154" s="99"/>
      <c r="F154" s="101"/>
      <c r="G154" s="102"/>
    </row>
    <row r="155" spans="1:7" s="96" customFormat="1" ht="20.100000000000001" customHeight="1" x14ac:dyDescent="0.25">
      <c r="A155" s="97"/>
      <c r="B155" s="106">
        <v>1</v>
      </c>
      <c r="C155" s="90" t="s">
        <v>253</v>
      </c>
      <c r="D155" s="100"/>
      <c r="E155" s="99"/>
      <c r="F155" s="101"/>
      <c r="G155" s="102"/>
    </row>
    <row r="156" spans="1:7" s="96" customFormat="1" ht="20.100000000000001" customHeight="1" x14ac:dyDescent="0.25">
      <c r="A156" s="97"/>
      <c r="B156" s="106">
        <v>3</v>
      </c>
      <c r="C156" s="90" t="s">
        <v>254</v>
      </c>
      <c r="D156" s="100"/>
      <c r="E156" s="99"/>
      <c r="F156" s="101"/>
      <c r="G156" s="102"/>
    </row>
    <row r="157" spans="1:7" s="96" customFormat="1" ht="20.100000000000001" customHeight="1" x14ac:dyDescent="0.25">
      <c r="A157" s="97"/>
      <c r="B157" s="106">
        <v>3</v>
      </c>
      <c r="C157" s="90" t="s">
        <v>255</v>
      </c>
      <c r="D157" s="100"/>
      <c r="E157" s="99"/>
      <c r="F157" s="101"/>
      <c r="G157" s="102"/>
    </row>
    <row r="158" spans="1:7" s="96" customFormat="1" ht="20.100000000000001" customHeight="1" x14ac:dyDescent="0.25">
      <c r="A158" s="97"/>
      <c r="B158" s="106">
        <v>1</v>
      </c>
      <c r="C158" s="90" t="s">
        <v>256</v>
      </c>
      <c r="D158" s="100"/>
      <c r="E158" s="99"/>
      <c r="F158" s="101"/>
      <c r="G158" s="102"/>
    </row>
    <row r="159" spans="1:7" s="96" customFormat="1" ht="20.100000000000001" customHeight="1" x14ac:dyDescent="0.25">
      <c r="A159" s="97"/>
      <c r="B159" s="106">
        <v>1</v>
      </c>
      <c r="C159" s="90" t="s">
        <v>257</v>
      </c>
      <c r="D159" s="100"/>
      <c r="E159" s="99"/>
      <c r="F159" s="101"/>
      <c r="G159" s="102"/>
    </row>
    <row r="160" spans="1:7" s="96" customFormat="1" ht="20.100000000000001" customHeight="1" x14ac:dyDescent="0.25">
      <c r="A160" s="97"/>
      <c r="B160" s="106">
        <v>1</v>
      </c>
      <c r="C160" s="90" t="s">
        <v>258</v>
      </c>
      <c r="D160" s="100"/>
      <c r="E160" s="99"/>
      <c r="F160" s="101"/>
      <c r="G160" s="102"/>
    </row>
    <row r="161" spans="1:7" s="96" customFormat="1" ht="20.100000000000001" customHeight="1" x14ac:dyDescent="0.25">
      <c r="A161" s="97"/>
      <c r="B161" s="106">
        <v>1</v>
      </c>
      <c r="C161" s="90" t="s">
        <v>259</v>
      </c>
      <c r="D161" s="100"/>
      <c r="E161" s="99"/>
      <c r="F161" s="101"/>
      <c r="G161" s="102"/>
    </row>
    <row r="162" spans="1:7" s="96" customFormat="1" ht="20.100000000000001" customHeight="1" x14ac:dyDescent="0.25">
      <c r="A162" s="97"/>
      <c r="B162" s="106">
        <v>1</v>
      </c>
      <c r="C162" s="90" t="s">
        <v>260</v>
      </c>
      <c r="D162" s="100"/>
      <c r="E162" s="99"/>
      <c r="F162" s="101"/>
      <c r="G162" s="102"/>
    </row>
    <row r="163" spans="1:7" s="96" customFormat="1" ht="20.100000000000001" customHeight="1" x14ac:dyDescent="0.25">
      <c r="A163" s="97"/>
      <c r="B163" s="106">
        <v>1</v>
      </c>
      <c r="C163" s="90" t="s">
        <v>261</v>
      </c>
      <c r="D163" s="100"/>
      <c r="E163" s="99"/>
      <c r="F163" s="101"/>
      <c r="G163" s="102"/>
    </row>
    <row r="164" spans="1:7" s="96" customFormat="1" ht="20.100000000000001" customHeight="1" x14ac:dyDescent="0.25">
      <c r="A164" s="97"/>
      <c r="B164" s="106">
        <v>3</v>
      </c>
      <c r="C164" s="90" t="s">
        <v>262</v>
      </c>
      <c r="D164" s="100"/>
      <c r="E164" s="99"/>
      <c r="F164" s="101"/>
      <c r="G164" s="102"/>
    </row>
    <row r="165" spans="1:7" s="96" customFormat="1" ht="20.100000000000001" customHeight="1" x14ac:dyDescent="0.25">
      <c r="A165" s="97"/>
      <c r="B165" s="106">
        <v>1</v>
      </c>
      <c r="C165" s="90" t="s">
        <v>263</v>
      </c>
      <c r="D165" s="100"/>
      <c r="E165" s="99"/>
      <c r="F165" s="101"/>
      <c r="G165" s="102"/>
    </row>
    <row r="166" spans="1:7" s="96" customFormat="1" ht="20.100000000000001" customHeight="1" x14ac:dyDescent="0.25">
      <c r="A166" s="97"/>
      <c r="B166" s="106">
        <v>2</v>
      </c>
      <c r="C166" s="90" t="s">
        <v>264</v>
      </c>
      <c r="D166" s="100"/>
      <c r="E166" s="99"/>
      <c r="F166" s="101"/>
      <c r="G166" s="102"/>
    </row>
    <row r="167" spans="1:7" s="96" customFormat="1" ht="20.100000000000001" customHeight="1" x14ac:dyDescent="0.25">
      <c r="A167" s="97"/>
      <c r="B167" s="94">
        <f>SUM(B145:B166)</f>
        <v>29</v>
      </c>
      <c r="C167" s="90"/>
      <c r="D167" s="100"/>
      <c r="E167" s="99"/>
      <c r="F167" s="101"/>
      <c r="G167" s="102"/>
    </row>
    <row r="168" spans="1:7" s="96" customFormat="1" ht="20.100000000000001" customHeight="1" x14ac:dyDescent="0.25">
      <c r="A168" s="97"/>
      <c r="B168" s="112">
        <v>1</v>
      </c>
      <c r="C168" s="113" t="s">
        <v>265</v>
      </c>
      <c r="D168" s="100"/>
      <c r="E168" s="99"/>
      <c r="F168" s="101"/>
      <c r="G168" s="102"/>
    </row>
    <row r="169" spans="1:7" s="96" customFormat="1" ht="20.100000000000001" customHeight="1" x14ac:dyDescent="0.25">
      <c r="A169" s="97"/>
      <c r="B169" s="98"/>
      <c r="C169" s="99"/>
      <c r="D169" s="100"/>
      <c r="E169" s="99"/>
      <c r="F169" s="101"/>
      <c r="G169" s="102"/>
    </row>
    <row r="170" spans="1:7" s="96" customFormat="1" ht="20.100000000000001" customHeight="1" x14ac:dyDescent="0.3">
      <c r="A170" s="97"/>
      <c r="B170" s="115"/>
      <c r="C170" s="116" t="s">
        <v>266</v>
      </c>
      <c r="D170" s="100"/>
      <c r="E170" s="99"/>
      <c r="F170" s="101"/>
      <c r="G170" s="102"/>
    </row>
    <row r="171" spans="1:7" s="96" customFormat="1" ht="20.100000000000001" customHeight="1" x14ac:dyDescent="0.3">
      <c r="A171" s="97"/>
      <c r="B171" s="117" t="s">
        <v>31</v>
      </c>
      <c r="C171" s="117" t="s">
        <v>267</v>
      </c>
      <c r="D171" s="100"/>
      <c r="E171" s="99"/>
      <c r="F171" s="101"/>
      <c r="G171" s="102"/>
    </row>
    <row r="172" spans="1:7" s="96" customFormat="1" ht="20.100000000000001" customHeight="1" x14ac:dyDescent="0.3">
      <c r="A172" s="97"/>
      <c r="B172" s="118">
        <v>2</v>
      </c>
      <c r="C172" s="119" t="s">
        <v>268</v>
      </c>
      <c r="D172" s="100"/>
      <c r="E172" s="99"/>
      <c r="F172" s="101"/>
      <c r="G172" s="102"/>
    </row>
    <row r="173" spans="1:7" s="96" customFormat="1" ht="20.100000000000001" customHeight="1" x14ac:dyDescent="0.3">
      <c r="A173" s="97"/>
      <c r="B173" s="118">
        <v>2</v>
      </c>
      <c r="C173" s="119" t="s">
        <v>269</v>
      </c>
      <c r="D173" s="100"/>
      <c r="E173" s="99"/>
      <c r="F173" s="101"/>
      <c r="G173" s="102"/>
    </row>
    <row r="174" spans="1:7" s="96" customFormat="1" ht="20.100000000000001" customHeight="1" x14ac:dyDescent="0.3">
      <c r="A174" s="97"/>
      <c r="B174" s="118">
        <v>2</v>
      </c>
      <c r="C174" s="119" t="s">
        <v>270</v>
      </c>
      <c r="D174" s="100"/>
      <c r="E174" s="99"/>
      <c r="F174" s="101"/>
      <c r="G174" s="102"/>
    </row>
    <row r="175" spans="1:7" s="96" customFormat="1" ht="20.100000000000001" customHeight="1" x14ac:dyDescent="0.3">
      <c r="A175" s="97"/>
      <c r="B175" s="118">
        <v>2</v>
      </c>
      <c r="C175" s="119" t="s">
        <v>271</v>
      </c>
      <c r="D175" s="100"/>
      <c r="E175" s="99"/>
      <c r="F175" s="101"/>
      <c r="G175" s="102"/>
    </row>
    <row r="176" spans="1:7" s="96" customFormat="1" ht="20.100000000000001" customHeight="1" x14ac:dyDescent="0.3">
      <c r="A176" s="97"/>
      <c r="B176" s="118">
        <v>2</v>
      </c>
      <c r="C176" s="119" t="s">
        <v>272</v>
      </c>
      <c r="D176" s="100"/>
      <c r="E176" s="99"/>
      <c r="F176" s="101"/>
      <c r="G176" s="102"/>
    </row>
    <row r="177" spans="1:7" s="96" customFormat="1" ht="20.100000000000001" customHeight="1" x14ac:dyDescent="0.3">
      <c r="A177" s="97"/>
      <c r="B177" s="118">
        <v>1</v>
      </c>
      <c r="C177" s="119" t="s">
        <v>273</v>
      </c>
      <c r="D177" s="100"/>
      <c r="E177" s="99"/>
      <c r="F177" s="101"/>
      <c r="G177" s="102"/>
    </row>
    <row r="178" spans="1:7" s="96" customFormat="1" ht="20.100000000000001" customHeight="1" x14ac:dyDescent="0.3">
      <c r="A178" s="97"/>
      <c r="B178" s="118">
        <v>1</v>
      </c>
      <c r="C178" s="119" t="s">
        <v>274</v>
      </c>
      <c r="D178" s="100"/>
      <c r="E178" s="99"/>
      <c r="F178" s="101"/>
      <c r="G178" s="102"/>
    </row>
    <row r="179" spans="1:7" s="96" customFormat="1" ht="20.100000000000001" customHeight="1" x14ac:dyDescent="0.3">
      <c r="A179" s="97"/>
      <c r="B179" s="118">
        <v>1</v>
      </c>
      <c r="C179" s="119" t="s">
        <v>275</v>
      </c>
      <c r="D179" s="100"/>
      <c r="E179" s="99"/>
      <c r="F179" s="101"/>
      <c r="G179" s="102"/>
    </row>
    <row r="180" spans="1:7" s="96" customFormat="1" ht="20.100000000000001" customHeight="1" x14ac:dyDescent="0.3">
      <c r="A180" s="97"/>
      <c r="B180" s="118">
        <v>2</v>
      </c>
      <c r="C180" s="119" t="s">
        <v>276</v>
      </c>
      <c r="D180" s="100"/>
      <c r="E180" s="99"/>
      <c r="F180" s="101"/>
      <c r="G180" s="102"/>
    </row>
    <row r="181" spans="1:7" ht="20.100000000000001" customHeight="1" x14ac:dyDescent="0.3">
      <c r="A181" s="58"/>
      <c r="B181" s="118">
        <v>1</v>
      </c>
      <c r="C181" s="119" t="s">
        <v>277</v>
      </c>
      <c r="D181" s="59"/>
      <c r="E181" s="59"/>
      <c r="F181" s="59"/>
      <c r="G181" s="60"/>
    </row>
    <row r="182" spans="1:7" ht="20.100000000000001" customHeight="1" x14ac:dyDescent="0.3">
      <c r="A182" s="58"/>
      <c r="B182" s="118">
        <v>1</v>
      </c>
      <c r="C182" s="119" t="s">
        <v>278</v>
      </c>
      <c r="D182" s="59"/>
      <c r="E182" s="59"/>
      <c r="F182" s="59"/>
      <c r="G182" s="60"/>
    </row>
    <row r="183" spans="1:7" ht="20.100000000000001" customHeight="1" x14ac:dyDescent="0.3">
      <c r="A183" s="58"/>
      <c r="B183" s="118">
        <v>1</v>
      </c>
      <c r="C183" s="119" t="s">
        <v>279</v>
      </c>
      <c r="D183" s="59"/>
      <c r="E183" s="59"/>
      <c r="F183" s="59"/>
      <c r="G183" s="59"/>
    </row>
    <row r="184" spans="1:7" ht="20.100000000000001" customHeight="1" x14ac:dyDescent="0.3">
      <c r="A184" s="58"/>
      <c r="B184" s="118">
        <v>1</v>
      </c>
      <c r="C184" s="119" t="s">
        <v>280</v>
      </c>
      <c r="D184" s="62"/>
      <c r="E184" s="62"/>
      <c r="F184" s="62"/>
      <c r="G184" s="63"/>
    </row>
    <row r="185" spans="1:7" ht="20.100000000000001" customHeight="1" x14ac:dyDescent="0.3">
      <c r="A185" s="58"/>
      <c r="B185" s="118">
        <v>1</v>
      </c>
      <c r="C185" s="119" t="s">
        <v>281</v>
      </c>
      <c r="D185" s="76"/>
      <c r="E185" s="76"/>
      <c r="F185" s="76"/>
      <c r="G185" s="65"/>
    </row>
    <row r="186" spans="1:7" ht="20.100000000000001" customHeight="1" x14ac:dyDescent="0.3">
      <c r="A186" s="58"/>
      <c r="B186" s="118">
        <v>1</v>
      </c>
      <c r="C186" s="119" t="s">
        <v>282</v>
      </c>
      <c r="D186" s="76"/>
      <c r="E186" s="76"/>
      <c r="F186" s="76"/>
      <c r="G186" s="65"/>
    </row>
    <row r="187" spans="1:7" ht="20.100000000000001" customHeight="1" x14ac:dyDescent="0.3">
      <c r="A187" s="58"/>
      <c r="B187" s="117">
        <v>21</v>
      </c>
      <c r="C187" s="114"/>
      <c r="D187" s="76"/>
      <c r="E187" s="76"/>
      <c r="F187" s="76"/>
      <c r="G187" s="65"/>
    </row>
    <row r="188" spans="1:7" ht="20.100000000000001" customHeight="1" x14ac:dyDescent="0.25">
      <c r="A188" s="58"/>
      <c r="B188" s="61"/>
      <c r="C188" s="61"/>
      <c r="D188" s="66"/>
      <c r="E188" s="66"/>
      <c r="F188" s="66"/>
      <c r="G188" s="66"/>
    </row>
    <row r="189" spans="1:7" ht="20.100000000000001" customHeight="1" x14ac:dyDescent="0.25">
      <c r="A189" s="58"/>
      <c r="B189" s="64">
        <v>1</v>
      </c>
      <c r="C189" s="52" t="s">
        <v>283</v>
      </c>
      <c r="D189" s="66"/>
      <c r="E189" s="66"/>
      <c r="F189" s="66"/>
      <c r="G189" s="66"/>
    </row>
    <row r="190" spans="1:7" ht="20.100000000000001" customHeight="1" x14ac:dyDescent="0.25">
      <c r="A190" s="58"/>
      <c r="B190" s="46">
        <v>1</v>
      </c>
      <c r="C190" s="52" t="s">
        <v>62</v>
      </c>
      <c r="D190" s="66"/>
      <c r="E190" s="66"/>
      <c r="F190" s="66"/>
      <c r="G190" s="66"/>
    </row>
    <row r="191" spans="1:7" ht="20.100000000000001" customHeight="1" x14ac:dyDescent="0.2">
      <c r="A191" s="76"/>
      <c r="B191" s="46">
        <v>2</v>
      </c>
      <c r="C191" s="52" t="s">
        <v>284</v>
      </c>
      <c r="D191" s="76"/>
      <c r="E191" s="76"/>
      <c r="F191" s="76"/>
      <c r="G191" s="76"/>
    </row>
    <row r="192" spans="1:7" ht="20.100000000000001" customHeight="1" x14ac:dyDescent="0.25">
      <c r="A192" s="76"/>
      <c r="B192" s="50">
        <v>11</v>
      </c>
      <c r="C192" s="52"/>
      <c r="D192" s="76"/>
      <c r="E192" s="76"/>
      <c r="F192" s="76"/>
      <c r="G192" s="76"/>
    </row>
    <row r="193" spans="1:7" ht="20.100000000000001" customHeight="1" x14ac:dyDescent="0.2">
      <c r="A193" s="76"/>
      <c r="B193" s="54"/>
      <c r="C193" s="76"/>
      <c r="D193" s="76"/>
      <c r="E193" s="76"/>
      <c r="F193" s="76"/>
      <c r="G193" s="76"/>
    </row>
    <row r="194" spans="1:7" ht="20.100000000000001" customHeight="1" x14ac:dyDescent="0.2">
      <c r="A194" s="76"/>
      <c r="B194" s="54"/>
      <c r="C194" s="76"/>
      <c r="D194" s="76"/>
      <c r="E194" s="76"/>
      <c r="F194" s="76"/>
      <c r="G194" s="76"/>
    </row>
    <row r="195" spans="1:7" ht="20.100000000000001" customHeight="1" x14ac:dyDescent="0.2">
      <c r="A195" s="76"/>
      <c r="B195" s="54"/>
      <c r="C195" s="76"/>
      <c r="D195" s="76"/>
      <c r="E195" s="76"/>
      <c r="F195" s="76"/>
      <c r="G195" s="76"/>
    </row>
    <row r="196" spans="1:7" ht="20.100000000000001" customHeight="1" x14ac:dyDescent="0.2">
      <c r="A196" s="76"/>
      <c r="B196" s="76"/>
      <c r="C196" s="76"/>
      <c r="D196" s="76"/>
      <c r="E196" s="76"/>
      <c r="F196" s="76"/>
      <c r="G196" s="76"/>
    </row>
    <row r="197" spans="1:7" ht="20.100000000000001" customHeight="1" x14ac:dyDescent="0.2">
      <c r="A197" s="76"/>
      <c r="B197" s="76"/>
      <c r="C197" s="76"/>
      <c r="D197" s="76"/>
      <c r="E197" s="76"/>
      <c r="F197" s="76"/>
      <c r="G197" s="76"/>
    </row>
    <row r="198" spans="1:7" ht="20.100000000000001" customHeight="1" x14ac:dyDescent="0.2">
      <c r="B198" s="10"/>
      <c r="C198" s="75" t="s">
        <v>15</v>
      </c>
      <c r="D198" s="76"/>
      <c r="E198" s="76"/>
      <c r="F198" s="76"/>
      <c r="G198" s="76"/>
    </row>
    <row r="199" spans="1:7" ht="20.100000000000001" customHeight="1" x14ac:dyDescent="0.2">
      <c r="B199" s="10"/>
      <c r="C199" s="76"/>
      <c r="D199" s="76"/>
      <c r="E199" s="76"/>
      <c r="F199" s="76"/>
      <c r="G199" s="76"/>
    </row>
    <row r="200" spans="1:7" ht="20.100000000000001" customHeight="1" x14ac:dyDescent="0.2">
      <c r="B200" s="10"/>
      <c r="C200" s="76"/>
      <c r="D200" s="76"/>
      <c r="E200" s="76"/>
      <c r="F200" s="76"/>
      <c r="G200" s="76"/>
    </row>
    <row r="201" spans="1:7" ht="20.100000000000001" customHeight="1" x14ac:dyDescent="0.2">
      <c r="B201" s="10"/>
      <c r="C201" s="76"/>
      <c r="D201" s="76"/>
      <c r="E201" s="76"/>
      <c r="F201" s="76"/>
      <c r="G201" s="76"/>
    </row>
    <row r="202" spans="1:7" ht="20.100000000000001" customHeight="1" x14ac:dyDescent="0.2">
      <c r="B202" s="10"/>
      <c r="C202" s="75" t="s">
        <v>16</v>
      </c>
      <c r="D202" s="76"/>
      <c r="E202" s="76"/>
      <c r="F202" s="76"/>
      <c r="G202" s="76"/>
    </row>
    <row r="203" spans="1:7" ht="20.100000000000001" customHeight="1" x14ac:dyDescent="0.2">
      <c r="B203" s="10"/>
      <c r="C203" s="76"/>
      <c r="D203" s="76"/>
      <c r="E203" s="76"/>
      <c r="F203" s="76"/>
      <c r="G203" s="76"/>
    </row>
    <row r="204" spans="1:7" ht="20.100000000000001" customHeight="1" x14ac:dyDescent="0.2">
      <c r="B204" s="10"/>
      <c r="C204" s="68"/>
      <c r="D204" s="68"/>
      <c r="E204" s="76"/>
      <c r="F204" s="69"/>
      <c r="G204" s="69"/>
    </row>
    <row r="205" spans="1:7" ht="20.100000000000001" customHeight="1" x14ac:dyDescent="0.2">
      <c r="B205" s="10"/>
      <c r="C205" s="75" t="s">
        <v>63</v>
      </c>
      <c r="D205" s="76"/>
      <c r="E205" s="76"/>
      <c r="F205" s="69"/>
      <c r="G205" s="70"/>
    </row>
    <row r="206" spans="1:7" ht="20.100000000000001" customHeight="1" x14ac:dyDescent="0.2">
      <c r="B206" s="10"/>
      <c r="C206" s="58"/>
      <c r="D206" s="71"/>
      <c r="E206" s="76"/>
      <c r="F206" s="67"/>
      <c r="G206" s="70"/>
    </row>
    <row r="207" spans="1:7" ht="20.100000000000001" customHeight="1" x14ac:dyDescent="0.2">
      <c r="B207" s="10"/>
      <c r="C207" s="58"/>
      <c r="D207" s="71"/>
      <c r="E207" s="76"/>
      <c r="F207" s="67"/>
      <c r="G207" s="70"/>
    </row>
    <row r="208" spans="1:7" ht="20.100000000000001" customHeight="1" x14ac:dyDescent="0.2">
      <c r="B208" s="10"/>
      <c r="C208" s="75" t="s">
        <v>17</v>
      </c>
      <c r="D208" s="71"/>
      <c r="E208" s="76"/>
      <c r="F208" s="67"/>
      <c r="G208" s="70"/>
    </row>
    <row r="209" spans="2:7" ht="20.100000000000001" customHeight="1" x14ac:dyDescent="0.2">
      <c r="B209" s="10"/>
      <c r="C209" s="58"/>
      <c r="D209" s="71"/>
      <c r="E209" s="76"/>
      <c r="F209" s="67"/>
      <c r="G209" s="70"/>
    </row>
    <row r="210" spans="2:7" ht="20.100000000000001" customHeight="1" x14ac:dyDescent="0.2">
      <c r="B210" s="10"/>
      <c r="C210" s="70"/>
      <c r="D210" s="72"/>
      <c r="E210" s="76"/>
      <c r="F210" s="70"/>
      <c r="G210" s="70"/>
    </row>
    <row r="211" spans="2:7" ht="20.100000000000001" customHeight="1" x14ac:dyDescent="0.25">
      <c r="B211" s="10"/>
      <c r="C211" s="75" t="s">
        <v>18</v>
      </c>
      <c r="D211"/>
      <c r="E211" s="76"/>
      <c r="F211"/>
      <c r="G211" s="70"/>
    </row>
    <row r="212" spans="2:7" ht="20.100000000000001" customHeight="1" x14ac:dyDescent="0.2">
      <c r="E212" s="76"/>
    </row>
    <row r="213" spans="2:7" ht="20.100000000000001" customHeight="1" x14ac:dyDescent="0.2">
      <c r="E213" s="76"/>
    </row>
    <row r="214" spans="2:7" ht="20.100000000000001" customHeight="1" x14ac:dyDescent="0.2">
      <c r="E214" s="76"/>
    </row>
    <row r="215" spans="2:7" ht="20.100000000000001" customHeight="1" x14ac:dyDescent="0.2">
      <c r="E215" s="76"/>
    </row>
    <row r="216" spans="2:7" ht="20.100000000000001" customHeight="1" x14ac:dyDescent="0.2">
      <c r="E216" s="76"/>
    </row>
    <row r="217" spans="2:7" ht="20.100000000000001" customHeight="1" x14ac:dyDescent="0.2">
      <c r="E217" s="76"/>
    </row>
    <row r="218" spans="2:7" ht="20.100000000000001" customHeight="1" x14ac:dyDescent="0.2">
      <c r="E218" s="76"/>
    </row>
    <row r="219" spans="2:7" ht="20.100000000000001" customHeight="1" x14ac:dyDescent="0.2">
      <c r="E219" s="76"/>
    </row>
    <row r="220" spans="2:7" ht="20.100000000000001" customHeight="1" x14ac:dyDescent="0.2">
      <c r="E220" s="76"/>
    </row>
    <row r="221" spans="2:7" ht="20.100000000000001" customHeight="1" x14ac:dyDescent="0.2">
      <c r="E221" s="76"/>
    </row>
    <row r="222" spans="2:7" ht="20.100000000000001" customHeight="1" x14ac:dyDescent="0.2">
      <c r="E222" s="76"/>
    </row>
    <row r="223" spans="2:7" ht="20.100000000000001" customHeight="1" x14ac:dyDescent="0.2">
      <c r="E223" s="76"/>
    </row>
    <row r="224" spans="2:7" ht="20.100000000000001" customHeight="1" x14ac:dyDescent="0.2">
      <c r="E224" s="76"/>
    </row>
    <row r="225" spans="5:5" ht="20.100000000000001" customHeight="1" x14ac:dyDescent="0.2">
      <c r="E225" s="76"/>
    </row>
    <row r="226" spans="5:5" ht="20.100000000000001" customHeight="1" x14ac:dyDescent="0.2">
      <c r="E226" s="76"/>
    </row>
    <row r="227" spans="5:5" ht="20.100000000000001" customHeight="1" x14ac:dyDescent="0.2">
      <c r="E227" s="76"/>
    </row>
    <row r="228" spans="5:5" ht="20.100000000000001" customHeight="1" x14ac:dyDescent="0.2">
      <c r="E228" s="76"/>
    </row>
    <row r="229" spans="5:5" ht="20.100000000000001" customHeight="1" x14ac:dyDescent="0.2">
      <c r="E229" s="76"/>
    </row>
    <row r="230" spans="5:5" ht="20.100000000000001" customHeight="1" x14ac:dyDescent="0.2">
      <c r="E230" s="76"/>
    </row>
  </sheetData>
  <customSheetViews>
    <customSheetView guid="{3342B702-8207-4EA1-8384-FAFEA840CE2A}" scale="70" showPageBreaks="1" showGridLines="0" printArea="1">
      <pane xSplit="2" ySplit="5" topLeftCell="C18" activePane="bottomRight" state="frozen"/>
      <selection pane="bottomRight" activeCell="G33" sqref="G33"/>
      <pageMargins left="0.39370078740157483" right="0.39370078740157483" top="0.39370078740157483" bottom="0" header="0.31496062992125984" footer="0.31496062992125984"/>
      <printOptions horizontalCentered="1"/>
      <pageSetup paperSize="9" scale="50" orientation="portrait" r:id="rId1"/>
      <headerFooter>
        <oddFooter>&amp;R&amp;"-,Negrita"&amp;14Pág. &amp;P de &amp;N</oddFooter>
      </headerFooter>
    </customSheetView>
  </customSheetViews>
  <mergeCells count="5">
    <mergeCell ref="A11:B11"/>
    <mergeCell ref="M5:N6"/>
    <mergeCell ref="D2:E2"/>
    <mergeCell ref="C4:C5"/>
    <mergeCell ref="C2:C3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00000000-0002-0000-0000-000000000000}"/>
  </dataValidations>
  <printOptions horizontalCentered="1"/>
  <pageMargins left="0.16" right="0.39370078740157483" top="0.39370078740157483" bottom="0.41" header="0.31496062992125984" footer="0.3"/>
  <pageSetup paperSize="9" scale="50" orientation="portrait" r:id="rId2"/>
  <headerFooter>
    <oddFooter>&amp;R&amp;"-,Negrita"&amp;14Pág. &amp;P de &amp;N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"/>
  <sheetViews>
    <sheetView workbookViewId="0">
      <selection activeCell="F5" sqref="F5"/>
    </sheetView>
  </sheetViews>
  <sheetFormatPr baseColWidth="10" defaultRowHeight="15" x14ac:dyDescent="0.25"/>
  <sheetData>
    <row r="1" spans="1:2" x14ac:dyDescent="0.25">
      <c r="A1" t="s">
        <v>59</v>
      </c>
      <c r="B1" s="38" t="s">
        <v>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18"/>
  <sheetViews>
    <sheetView workbookViewId="0">
      <selection sqref="A1:A18"/>
    </sheetView>
  </sheetViews>
  <sheetFormatPr baseColWidth="10" defaultRowHeight="15" x14ac:dyDescent="0.25"/>
  <sheetData>
    <row r="1" spans="1:1" x14ac:dyDescent="0.25">
      <c r="A1" t="s">
        <v>40</v>
      </c>
    </row>
    <row r="2" spans="1:1" x14ac:dyDescent="0.25">
      <c r="A2" t="s">
        <v>41</v>
      </c>
    </row>
    <row r="3" spans="1:1" x14ac:dyDescent="0.25">
      <c r="A3" t="s">
        <v>42</v>
      </c>
    </row>
    <row r="4" spans="1:1" x14ac:dyDescent="0.25">
      <c r="A4" t="s">
        <v>43</v>
      </c>
    </row>
    <row r="5" spans="1:1" x14ac:dyDescent="0.25">
      <c r="A5" t="s">
        <v>44</v>
      </c>
    </row>
    <row r="6" spans="1:1" x14ac:dyDescent="0.25">
      <c r="A6" t="s">
        <v>45</v>
      </c>
    </row>
    <row r="7" spans="1:1" x14ac:dyDescent="0.25">
      <c r="A7" t="s">
        <v>46</v>
      </c>
    </row>
    <row r="8" spans="1:1" x14ac:dyDescent="0.25">
      <c r="A8" t="s">
        <v>47</v>
      </c>
    </row>
    <row r="9" spans="1:1" x14ac:dyDescent="0.25">
      <c r="A9" t="s">
        <v>48</v>
      </c>
    </row>
    <row r="10" spans="1:1" x14ac:dyDescent="0.25">
      <c r="A10" t="s">
        <v>49</v>
      </c>
    </row>
    <row r="11" spans="1:1" x14ac:dyDescent="0.25">
      <c r="A11" t="s">
        <v>50</v>
      </c>
    </row>
    <row r="12" spans="1:1" x14ac:dyDescent="0.25">
      <c r="A12" t="s">
        <v>51</v>
      </c>
    </row>
    <row r="13" spans="1:1" x14ac:dyDescent="0.25">
      <c r="A13" t="s">
        <v>52</v>
      </c>
    </row>
    <row r="14" spans="1:1" x14ac:dyDescent="0.25">
      <c r="A14" t="s">
        <v>53</v>
      </c>
    </row>
    <row r="15" spans="1:1" x14ac:dyDescent="0.25">
      <c r="A15" t="s">
        <v>54</v>
      </c>
    </row>
    <row r="16" spans="1:1" x14ac:dyDescent="0.25">
      <c r="A16" t="s">
        <v>55</v>
      </c>
    </row>
    <row r="17" spans="1:1" x14ac:dyDescent="0.25">
      <c r="A17" t="s">
        <v>56</v>
      </c>
    </row>
    <row r="18" spans="1:1" x14ac:dyDescent="0.25">
      <c r="A18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Hoja1</vt:lpstr>
      <vt:lpstr>Hoja4</vt:lpstr>
      <vt:lpstr>Hoja2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ortomax</dc:creator>
  <cp:lastModifiedBy>User</cp:lastModifiedBy>
  <cp:lastPrinted>2023-05-01T14:54:33Z</cp:lastPrinted>
  <dcterms:created xsi:type="dcterms:W3CDTF">2023-01-26T13:28:36Z</dcterms:created>
  <dcterms:modified xsi:type="dcterms:W3CDTF">2023-05-01T14:54:34Z</dcterms:modified>
</cp:coreProperties>
</file>