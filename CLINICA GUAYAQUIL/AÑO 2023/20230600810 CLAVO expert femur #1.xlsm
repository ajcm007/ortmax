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00000000-0000-0000-0000-0000000000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Z:\CLINICA GUAYAQUIL\"/>
    </mc:Choice>
  </mc:AlternateContent>
  <xr:revisionPtr revIDLastSave="0" documentId="13_ncr:1_{35918644-1EE7-4FCB-AC17-BB01C01DACAD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Hoja1" sheetId="1" r:id="rId1"/>
    <sheet name="Hoja3" sheetId="5" r:id="rId2"/>
    <sheet name="Hoja4" sheetId="4" state="hidden" r:id="rId3"/>
    <sheet name="Hoja2" sheetId="2" state="hidden" r:id="rId4"/>
  </sheets>
  <definedNames>
    <definedName name="_xlnm.Print_Area" localSheetId="0">Hoja1!$A$2:$E$23</definedName>
    <definedName name="wclientes">#REF!</definedName>
    <definedName name="wproducto">#REF!</definedName>
    <definedName name="Z_3342B702_8207_4EA1_8384_FAFEA840CE2A_.wvu.PrintArea" localSheetId="0" hidden="1">Hoja1!$A$2:$E$23</definedName>
  </definedNames>
  <calcPr calcId="191029"/>
  <customWorkbookViews>
    <customWorkbookView name="Usuario Principal - Vista personalizada" guid="{3342B702-8207-4EA1-8384-FAFEA840CE2A}" mergeInterval="0" personalView="1" maximized="1" xWindow="-8" yWindow="-8" windowWidth="1382" windowHeight="744" activeSheetId="1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16" i="1" l="1"/>
  <c r="B196" i="1"/>
  <c r="B188" i="1"/>
  <c r="B159" i="1"/>
  <c r="B137" i="1"/>
  <c r="D123" i="1"/>
  <c r="D93" i="1"/>
  <c r="D79" i="1"/>
  <c r="D70" i="1"/>
  <c r="D55" i="1"/>
  <c r="D39" i="1"/>
  <c r="G106" i="5" l="1"/>
  <c r="G105" i="5"/>
  <c r="G107" i="5" s="1"/>
  <c r="G98" i="1"/>
  <c r="G99" i="1" s="1"/>
  <c r="G100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Asus</author>
  </authors>
  <commentList>
    <comment ref="E7" authorId="0" shapeId="0" xr:uid="{00000000-0006-0000-0000-000001000000}">
      <text>
        <r>
          <rPr>
            <b/>
            <sz val="12"/>
            <color indexed="81"/>
            <rFont val="Tahoma"/>
            <family val="2"/>
          </rPr>
          <t>No. DOC.
AÑO,MES Y SECUENCIA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9" authorId="0" shapeId="0" xr:uid="{00000000-0006-0000-0000-000002000000}">
      <text>
        <r>
          <rPr>
            <b/>
            <sz val="13"/>
            <color indexed="81"/>
            <rFont val="Tahoma"/>
            <family val="2"/>
          </rPr>
          <t>CLIENTE:
Razon social y ruc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11" authorId="0" shapeId="0" xr:uid="{00000000-0006-0000-0000-000003000000}">
      <text>
        <r>
          <rPr>
            <b/>
            <sz val="12"/>
            <color indexed="81"/>
            <rFont val="Tahoma"/>
            <family val="2"/>
          </rPr>
          <t>INSTITUCIÓN:</t>
        </r>
        <r>
          <rPr>
            <sz val="12"/>
            <color indexed="81"/>
            <rFont val="Tahoma"/>
            <family val="2"/>
          </rPr>
          <t xml:space="preserve">
HOSPITAL O CLINICA</t>
        </r>
      </text>
    </comment>
    <comment ref="E11" authorId="0" shapeId="0" xr:uid="{00000000-0006-0000-0000-000004000000}">
      <text>
        <r>
          <rPr>
            <b/>
            <sz val="12"/>
            <color indexed="81"/>
            <rFont val="Tahoma"/>
            <family val="2"/>
          </rPr>
          <t>NOTA:
CODIFICACION SI ES PARA:
- JAIRO PINEDA CORAL
- INQUIORT S.A.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Asus</author>
  </authors>
  <commentList>
    <comment ref="E7" authorId="0" shapeId="0" xr:uid="{30948EE2-70DF-4554-B074-44BDD74EF80A}">
      <text>
        <r>
          <rPr>
            <b/>
            <sz val="12"/>
            <color indexed="81"/>
            <rFont val="Tahoma"/>
            <family val="2"/>
          </rPr>
          <t>No. DOC.
AÑO,MES Y SECUENCIA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9" authorId="0" shapeId="0" xr:uid="{33BF7096-43CA-4888-87B1-6B06B6D8AA0C}">
      <text>
        <r>
          <rPr>
            <b/>
            <sz val="13"/>
            <color indexed="81"/>
            <rFont val="Tahoma"/>
            <family val="2"/>
          </rPr>
          <t>CLIENTE:
Razon social y ruc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11" authorId="0" shapeId="0" xr:uid="{A0C5AEF9-A521-4548-9067-EAB6C684EF3A}">
      <text>
        <r>
          <rPr>
            <b/>
            <sz val="12"/>
            <color indexed="81"/>
            <rFont val="Tahoma"/>
            <family val="2"/>
          </rPr>
          <t>INSTITUCIÓN:</t>
        </r>
        <r>
          <rPr>
            <sz val="12"/>
            <color indexed="81"/>
            <rFont val="Tahoma"/>
            <family val="2"/>
          </rPr>
          <t xml:space="preserve">
HOSPITAL O CLINICA</t>
        </r>
      </text>
    </comment>
    <comment ref="E11" authorId="0" shapeId="0" xr:uid="{461C4C3F-740F-4C25-B49A-919492104803}">
      <text>
        <r>
          <rPr>
            <b/>
            <sz val="12"/>
            <color indexed="81"/>
            <rFont val="Tahoma"/>
            <family val="2"/>
          </rPr>
          <t>NOTA:
CODIFICACION SI ES PARA:
- JAIRO PINEDA CORAL
- INQUIORT S.A.</t>
        </r>
      </text>
    </comment>
  </commentList>
</comments>
</file>

<file path=xl/sharedStrings.xml><?xml version="1.0" encoding="utf-8"?>
<sst xmlns="http://schemas.openxmlformats.org/spreadsheetml/2006/main" count="728" uniqueCount="650">
  <si>
    <t>FECHA DE EMISIÓN:</t>
  </si>
  <si>
    <t>No. DOC</t>
  </si>
  <si>
    <t>NOMBRE CLIENTE</t>
  </si>
  <si>
    <t>RUC. CLIENTE</t>
  </si>
  <si>
    <t>PUNTO DE LLEGADA</t>
  </si>
  <si>
    <t>MOTIVO DE TRASLADO</t>
  </si>
  <si>
    <t>FECHA CIRUGÍA</t>
  </si>
  <si>
    <t>HORA  CIRUGIA</t>
  </si>
  <si>
    <t>NOMBRE MÉDICO</t>
  </si>
  <si>
    <t>NOMBRE PACIENTE</t>
  </si>
  <si>
    <t>COD. ARTICULO</t>
  </si>
  <si>
    <t>Lote</t>
  </si>
  <si>
    <t xml:space="preserve">DESCRIPCION ARTICULO </t>
  </si>
  <si>
    <t>CANT.</t>
  </si>
  <si>
    <t>DESCARGO</t>
  </si>
  <si>
    <t>RECIBIDO POR</t>
  </si>
  <si>
    <t>ENTREGADO POR</t>
  </si>
  <si>
    <t>VERIFICADO POR</t>
  </si>
  <si>
    <t>OBSERVACIONES</t>
  </si>
  <si>
    <t xml:space="preserve">TIPO DE SEGURO </t>
  </si>
  <si>
    <t xml:space="preserve">IDENTIFICACION DEL PACIENTE </t>
  </si>
  <si>
    <t>INSTITUCION/CLINICA/HOSPITAL</t>
  </si>
  <si>
    <t>NOTA</t>
  </si>
  <si>
    <t>Código: R-ORT-02</t>
  </si>
  <si>
    <t>REGISTRO DE NOTA DE ENTREGA</t>
  </si>
  <si>
    <t>ANEXO AL PROCEDIMIENTO DE DESPACHO</t>
  </si>
  <si>
    <t>VERSION: 01</t>
  </si>
  <si>
    <t>VENTA -CIRUGÍA</t>
  </si>
  <si>
    <t>INQ</t>
  </si>
  <si>
    <t>CANTIDAD</t>
  </si>
  <si>
    <t>Fecha de elaboración:</t>
  </si>
  <si>
    <t xml:space="preserve">Vigente hasta: </t>
  </si>
  <si>
    <t>PRECIO UNITARIO</t>
  </si>
  <si>
    <t>PRECIO TOTAL</t>
  </si>
  <si>
    <t xml:space="preserve">SUBTOTAL </t>
  </si>
  <si>
    <t>IVA 12%</t>
  </si>
  <si>
    <t>TOTAL</t>
  </si>
  <si>
    <t>CLIENTE 1</t>
  </si>
  <si>
    <t>CLIENTE 2</t>
  </si>
  <si>
    <t>CLIENTE 3</t>
  </si>
  <si>
    <t>CLIENTE 4</t>
  </si>
  <si>
    <t>CLIENTE 5</t>
  </si>
  <si>
    <t>CLIENTE 6</t>
  </si>
  <si>
    <t>CLIENTE 7</t>
  </si>
  <si>
    <t>CLIENTE 8</t>
  </si>
  <si>
    <t>CLIENTE 9</t>
  </si>
  <si>
    <t>CLIENTE 10</t>
  </si>
  <si>
    <t>CLIENTE 11</t>
  </si>
  <si>
    <t>CLIENTE 12</t>
  </si>
  <si>
    <t>CLIENTE 13</t>
  </si>
  <si>
    <t>CLIENTE 14</t>
  </si>
  <si>
    <t>CLIENTE 15</t>
  </si>
  <si>
    <t>CLIENTE 16</t>
  </si>
  <si>
    <t>CLIENTE 17</t>
  </si>
  <si>
    <t>CLIENTE 18</t>
  </si>
  <si>
    <t xml:space="preserve">  Libro de registro de notas, se debe acalar que para ejecutar este archivo es necesario que se abra con macros y al ejecutar se abre un archivo llamado productos.xlms
clave 123456</t>
  </si>
  <si>
    <t>NOTAS:</t>
  </si>
  <si>
    <t>ADAPTADORES ANCLAJE RAPIDO</t>
  </si>
  <si>
    <t>INSRUMENTADOR</t>
  </si>
  <si>
    <t>CLINICA GUAYAQUIL</t>
  </si>
  <si>
    <t>Calle 8 401, Guayaquil 090313</t>
  </si>
  <si>
    <t xml:space="preserve">DR. LAMORU </t>
  </si>
  <si>
    <t xml:space="preserve">08:00AM </t>
  </si>
  <si>
    <t>YEPEZ YEPEZ ELIZANDRO PATRICIO</t>
  </si>
  <si>
    <t>071810170</t>
  </si>
  <si>
    <t>CLAVO PFNA 9*170mm TIT.</t>
  </si>
  <si>
    <t>971810200</t>
  </si>
  <si>
    <t>M2234147</t>
  </si>
  <si>
    <t>CLAVO PFNA 9*200mm TIT.</t>
  </si>
  <si>
    <t>071810240</t>
  </si>
  <si>
    <t>M2234146</t>
  </si>
  <si>
    <t>CLAVO PFNA 9*240mm TIT.</t>
  </si>
  <si>
    <t>071820170</t>
  </si>
  <si>
    <t xml:space="preserve">CLAVO PFNA 10*170mm TIT. </t>
  </si>
  <si>
    <t>071820200</t>
  </si>
  <si>
    <t>200718203</t>
  </si>
  <si>
    <t xml:space="preserve">CLAVO PFNA 10*200mm TIT. </t>
  </si>
  <si>
    <t>071820240</t>
  </si>
  <si>
    <t xml:space="preserve">CLAVO PFNA 10*240mm TIT. </t>
  </si>
  <si>
    <t>071830170</t>
  </si>
  <si>
    <t>A2301555</t>
  </si>
  <si>
    <t xml:space="preserve">CLAVO PFNA 11*170mm TIT. </t>
  </si>
  <si>
    <t>071830200</t>
  </si>
  <si>
    <t>CLAVO PFNA 11*200mm TIT.</t>
  </si>
  <si>
    <t>071830240</t>
  </si>
  <si>
    <t>CLAVO PFNA 11*240mm TIT.</t>
  </si>
  <si>
    <t>071840170</t>
  </si>
  <si>
    <t xml:space="preserve">CLAVO PFNA 12*170mm TIT. </t>
  </si>
  <si>
    <t>071840200</t>
  </si>
  <si>
    <t>CLAVO PFNA 12*200mm TIT.</t>
  </si>
  <si>
    <t>071840240</t>
  </si>
  <si>
    <t>180718402</t>
  </si>
  <si>
    <t>CLAVO PFNA 12*240mm TIT.</t>
  </si>
  <si>
    <t>T071851300</t>
  </si>
  <si>
    <t>CLAVO PFNA 9*300mm IZQ TIT.</t>
  </si>
  <si>
    <t>T071852300</t>
  </si>
  <si>
    <t>CLAVO PFNA 9*300mm DER TIT.</t>
  </si>
  <si>
    <t>T071851340</t>
  </si>
  <si>
    <t xml:space="preserve">CLAVO PFNA  9*340mm IZQ TIT. </t>
  </si>
  <si>
    <t>T071852340</t>
  </si>
  <si>
    <t xml:space="preserve">CLAVO PFNA 9*340mm DER TIT. </t>
  </si>
  <si>
    <t>T071851380</t>
  </si>
  <si>
    <t xml:space="preserve">CLAVO PFNA 9*380mm IZQ TIT. </t>
  </si>
  <si>
    <t>T071852380</t>
  </si>
  <si>
    <t>1506071854</t>
  </si>
  <si>
    <t>CLAVO PFNA 9*380mm DER TIT.</t>
  </si>
  <si>
    <t>T071851420</t>
  </si>
  <si>
    <t xml:space="preserve">CLAVO PFNA 9*420mm IZQ TIT.  </t>
  </si>
  <si>
    <t>T071852420</t>
  </si>
  <si>
    <t>CLAVO PFNA 9*420mm DER TIT.</t>
  </si>
  <si>
    <t>T701861300</t>
  </si>
  <si>
    <t xml:space="preserve">CLAVO PFNA 10*300mm IZQ TIT.  </t>
  </si>
  <si>
    <t>T071862300</t>
  </si>
  <si>
    <t xml:space="preserve">CLAVO PFNA 10*300mm DER TIT.  </t>
  </si>
  <si>
    <t>T071861340</t>
  </si>
  <si>
    <t xml:space="preserve">CLAVO PFNA 10*340mm IZQ TIT. </t>
  </si>
  <si>
    <t>T071862340</t>
  </si>
  <si>
    <t xml:space="preserve">CLAVO PFNA 10*340mm DER TIT. </t>
  </si>
  <si>
    <t>T071861380</t>
  </si>
  <si>
    <t xml:space="preserve">CLAVO PFNA 10*380mm IZQ  TIT. </t>
  </si>
  <si>
    <t>T071862380</t>
  </si>
  <si>
    <t xml:space="preserve">CLAVO PFNA 10*380mm DER TIT. </t>
  </si>
  <si>
    <t>T071861420</t>
  </si>
  <si>
    <t>CLAVO PFNA 10*420mm IZQ TIT.</t>
  </si>
  <si>
    <t>T071862420</t>
  </si>
  <si>
    <t xml:space="preserve">CLAVO PFNA 10*420mm DER TIT. </t>
  </si>
  <si>
    <t>T071871300</t>
  </si>
  <si>
    <t xml:space="preserve">CLAVO PFNA 11*300mm IZQ TIT. </t>
  </si>
  <si>
    <t>T071872300</t>
  </si>
  <si>
    <t xml:space="preserve">CLAVO PFNA 11*300mm DER TIT.  </t>
  </si>
  <si>
    <t>T071871340</t>
  </si>
  <si>
    <t xml:space="preserve">CLAVO PFNA 11*340mm IZQ TIT. </t>
  </si>
  <si>
    <t>T071872340</t>
  </si>
  <si>
    <t xml:space="preserve">CLAVO PFNA 11*340mm DER TIT. </t>
  </si>
  <si>
    <t>T071871380</t>
  </si>
  <si>
    <t xml:space="preserve">CLAVO PFNA 11*380mm IZQ TIT. </t>
  </si>
  <si>
    <t>T071872380</t>
  </si>
  <si>
    <t xml:space="preserve">CLAVO PFNA 11*380mm DER TIT.  </t>
  </si>
  <si>
    <t>T071872420</t>
  </si>
  <si>
    <t>CLAVO PFNA 11*420mm DER TIT.</t>
  </si>
  <si>
    <t>T071871420</t>
  </si>
  <si>
    <t xml:space="preserve">CLAVO PFNA 11*420mm IZQ TIT.  </t>
  </si>
  <si>
    <t>T071881300</t>
  </si>
  <si>
    <t xml:space="preserve">CLAVO PFNA 12*300mm IZQ TIT. </t>
  </si>
  <si>
    <t>T071882300</t>
  </si>
  <si>
    <t xml:space="preserve">CLAVO PFNA 12*300mm DER TIT. </t>
  </si>
  <si>
    <t>T071881340</t>
  </si>
  <si>
    <t xml:space="preserve">CLAVO PFNA 12*340mm IZQ TIT. </t>
  </si>
  <si>
    <t>T071882340</t>
  </si>
  <si>
    <t xml:space="preserve">CLAVO PFNA 12*340mm DER TIT. </t>
  </si>
  <si>
    <t>T071881380</t>
  </si>
  <si>
    <t xml:space="preserve">CLAVO PFNA 12*380mm IZQ TIT. </t>
  </si>
  <si>
    <t>T071882380</t>
  </si>
  <si>
    <t xml:space="preserve">CLAVO PFNA 12*380mm DER TIT. </t>
  </si>
  <si>
    <t>T071881420</t>
  </si>
  <si>
    <t xml:space="preserve">CLAVO PFNA 12*420mm IZQ TIT. </t>
  </si>
  <si>
    <t>T071882420</t>
  </si>
  <si>
    <t xml:space="preserve">CLAVO PFNA 12*420mm DER TIT. </t>
  </si>
  <si>
    <t>070370075</t>
  </si>
  <si>
    <t>1706070375</t>
  </si>
  <si>
    <t xml:space="preserve">HOJA HELICOIDAL PFNA *75mm TITANIO </t>
  </si>
  <si>
    <t>070370080</t>
  </si>
  <si>
    <t>H2107556</t>
  </si>
  <si>
    <t xml:space="preserve">HOJA HELICOIDAL PFNA *80mm TITANIO </t>
  </si>
  <si>
    <t>070370085</t>
  </si>
  <si>
    <t>H2104930</t>
  </si>
  <si>
    <t>HOJA HELICOIDAL PFNA *85mm TITANIO</t>
  </si>
  <si>
    <t>070370090</t>
  </si>
  <si>
    <t>J2106226</t>
  </si>
  <si>
    <t>HOJA HELICOIDAL PFNA *90mm TITANIO</t>
  </si>
  <si>
    <t>070370095</t>
  </si>
  <si>
    <t>H2104929</t>
  </si>
  <si>
    <t>HOJA HELICOIDAL PFNA *95mm TITANIO</t>
  </si>
  <si>
    <t>070370100</t>
  </si>
  <si>
    <t>H2200684</t>
  </si>
  <si>
    <t>HOJA HELICOIDAL PFNA *100mm TITANIO</t>
  </si>
  <si>
    <t>070370105</t>
  </si>
  <si>
    <t>C200703758</t>
  </si>
  <si>
    <t>HOJA HELICOIDAL PFNA *105mm TITANIO</t>
  </si>
  <si>
    <t>070370110</t>
  </si>
  <si>
    <t>HOJA HELICOIDAL PFNA *110mm TITANIO</t>
  </si>
  <si>
    <t>070370115</t>
  </si>
  <si>
    <t>E2201946</t>
  </si>
  <si>
    <t>HOJA HELICOIDAL PFNA *115mm TITANIO</t>
  </si>
  <si>
    <t>070370120</t>
  </si>
  <si>
    <t>C200703755</t>
  </si>
  <si>
    <t>HOJA HELICOIDAL PFNA *120mm TITANIO</t>
  </si>
  <si>
    <t>070120025</t>
  </si>
  <si>
    <t>1604070121</t>
  </si>
  <si>
    <t>TORNILLO DE BLOQUEO 4.9 *25mm TITANIO</t>
  </si>
  <si>
    <t>070120030</t>
  </si>
  <si>
    <t>M2236149</t>
  </si>
  <si>
    <t>TORNILLO DE BLOQUEO 4.9 *30mm TITANIO</t>
  </si>
  <si>
    <t>070120035</t>
  </si>
  <si>
    <t>F2203443</t>
  </si>
  <si>
    <t>TORNILLO DE BLOQUEO 4.9 *35mm TITANIO</t>
  </si>
  <si>
    <t>070120040</t>
  </si>
  <si>
    <t>M2234104</t>
  </si>
  <si>
    <t>TORNILLO DE BLOQUEO 4.9 *40mm TITANIO</t>
  </si>
  <si>
    <t>070120045</t>
  </si>
  <si>
    <t>F2200157</t>
  </si>
  <si>
    <t>TORNILLO DE BLOQUEO 4.9 *45mm TITANIO</t>
  </si>
  <si>
    <t>070120050</t>
  </si>
  <si>
    <t>190701221</t>
  </si>
  <si>
    <t>070120055</t>
  </si>
  <si>
    <t>TORNILLO DE BLOQUEO 4.9 *55mm TITANIO</t>
  </si>
  <si>
    <t>070120060</t>
  </si>
  <si>
    <t>190701213</t>
  </si>
  <si>
    <t>070120065</t>
  </si>
  <si>
    <t>190701208</t>
  </si>
  <si>
    <t>TORNILLO DE BLOQUEO 4.9 *65mm TITANIO</t>
  </si>
  <si>
    <t>070120070</t>
  </si>
  <si>
    <t>180701201</t>
  </si>
  <si>
    <t>TORNILLO DE BLOQUEO 4.9 *70mm TITANIO</t>
  </si>
  <si>
    <t>070120075</t>
  </si>
  <si>
    <t>TORNILLO DE BLOQUEO 4.9 *75mm TITANIO</t>
  </si>
  <si>
    <t>070120080</t>
  </si>
  <si>
    <t>190701206</t>
  </si>
  <si>
    <t>TORNILLO DE BLOQUEO 4.9 *80mm TITANIO</t>
  </si>
  <si>
    <t>070120085</t>
  </si>
  <si>
    <t>TORNILLO DE BLOQUEO 4.9 *85mm TITANIO</t>
  </si>
  <si>
    <t>INSTRUMENTAL PFNA  TITANIO # 2</t>
  </si>
  <si>
    <t>DESCRIPCION</t>
  </si>
  <si>
    <t>BANDEJA SUPERIOR</t>
  </si>
  <si>
    <t>Tornillo de Conexión para Clavo de PFN y de Recon</t>
  </si>
  <si>
    <t xml:space="preserve">Llave en T </t>
  </si>
  <si>
    <t xml:space="preserve">Arco de Insercion </t>
  </si>
  <si>
    <t xml:space="preserve">Mango en T de Anclaje Rapido </t>
  </si>
  <si>
    <t xml:space="preserve">Protector de tejidos mas camisa PARA  PINES </t>
  </si>
  <si>
    <t>Regla Medidora</t>
  </si>
  <si>
    <t>Broca de Canulado para Perno de Bloqueo, Canulado de ∅ 8mm</t>
  </si>
  <si>
    <t xml:space="preserve">Punzon Curvo Canulado </t>
  </si>
  <si>
    <t xml:space="preserve">Protector de tejidos </t>
  </si>
  <si>
    <t xml:space="preserve">Martillo macizo </t>
  </si>
  <si>
    <t>Llave Doble Boca</t>
  </si>
  <si>
    <t xml:space="preserve">Extractor Impactor de Clavo 2 PIEZAS CORTO </t>
  </si>
  <si>
    <t>BANDEJA 2</t>
  </si>
  <si>
    <t>6uía Proximal y Distal (Arco de Inserción para Proximal y Distal) para Clavo Femoral Proximal (PFN) y Recon (Reconstrucción)</t>
  </si>
  <si>
    <t>Medidor de Profundidad</t>
  </si>
  <si>
    <t xml:space="preserve">Llave Acero Inoxidable, 10mm </t>
  </si>
  <si>
    <t>Alambre guía roscado de 2.0 mm de diámetro</t>
  </si>
  <si>
    <t>Destornillador Hexagonal Canulado, Extra Larga, Punta de ∅ 3.5mm</t>
  </si>
  <si>
    <t>Destornillador hexagonal Extra Larga, de ∅ 3.5 mm</t>
  </si>
  <si>
    <t xml:space="preserve">Broca de dos aristas de corte, para mandril de tres mordazas,
∅4.2 x 300mm con tope </t>
  </si>
  <si>
    <t xml:space="preserve">Broca de dos aristas de corte, para mandril de tres mordazas,
∅4.2 x 300mm </t>
  </si>
  <si>
    <t>Broca de 4.0mm</t>
  </si>
  <si>
    <t>Vaina de Protección para pernos de bloqueo de 6 mm</t>
  </si>
  <si>
    <t>Vaina de Protección para pernos de bloqueo de 8 mm</t>
  </si>
  <si>
    <t>Vaina de sujeción para Aguja Guía, 2.0mm x 7.0mm</t>
  </si>
  <si>
    <t>Vaina de sujeción para Aguja Guía, 2.0mm x 9.0mm</t>
  </si>
  <si>
    <t>Vaina de Protección para Perno de Bloqueo ∅ 4.5mm</t>
  </si>
  <si>
    <t>Llave UNIVERSAL tubular de 10.0 mm</t>
  </si>
  <si>
    <t>BANDEJA TRES</t>
  </si>
  <si>
    <t>Atornillador de Hoja Helicoidal</t>
  </si>
  <si>
    <t>Extractor de Hoja Helicoidal</t>
  </si>
  <si>
    <t xml:space="preserve">Broca Calibrada de Hoja Helicoidal Con Tope </t>
  </si>
  <si>
    <t>GUIAS 3.2 mm ROSCADAS</t>
  </si>
  <si>
    <t xml:space="preserve">Medidor de Guia </t>
  </si>
  <si>
    <t xml:space="preserve">Llave Acero Inoxidable, 10mm recta </t>
  </si>
  <si>
    <t xml:space="preserve">Tornillo de sujecion Largo </t>
  </si>
  <si>
    <t xml:space="preserve">3 Piezas </t>
  </si>
  <si>
    <t xml:space="preserve">Guia de Broca y Pin de Hoja Helicoidal </t>
  </si>
  <si>
    <t xml:space="preserve">Regleta Proximal </t>
  </si>
  <si>
    <t xml:space="preserve">Mango porta Guias </t>
  </si>
  <si>
    <t>BROCA CORTA</t>
  </si>
  <si>
    <t>BANDEJA INFERIOR</t>
  </si>
  <si>
    <t>BRAZO DIRECIONAL ESTIRADO PARA PFNA</t>
  </si>
  <si>
    <t>TRONILLOS DE CONEXIÓN</t>
  </si>
  <si>
    <t>EJE DEL BRAZO DIRECCIONAL ESTIRABLE PARA PFNA LARGA</t>
  </si>
  <si>
    <t>GUIA DE BROCA PARA ALAMBRE GUIA</t>
  </si>
  <si>
    <t>TORNILLOS DE CONEXION</t>
  </si>
  <si>
    <t>LLAVE EN L HEXAGONAL 5.0</t>
  </si>
  <si>
    <t>BRAZO DIRECCIONAL EXTENSIBLE PFNA DISTAL</t>
  </si>
  <si>
    <t>CLIP EN U</t>
  </si>
  <si>
    <t>GUIA DE LIMPIEZA PARA INSTRUMENTOS CANULADOS</t>
  </si>
  <si>
    <t>GUIA DE MARTILLO PARA EXTRAER PFNA M8*1</t>
  </si>
  <si>
    <t>MARTILLO DESLIZANTE</t>
  </si>
  <si>
    <t>PASADOR DE CALIBRACION ∅8.1 /∅5.0</t>
  </si>
  <si>
    <t>BROCA CON CABEZA PLANA  ∅5.0MM</t>
  </si>
  <si>
    <t>CAMISA DE BROCA PARA PASADOR DE CALIBRACION</t>
  </si>
  <si>
    <t>BROCA 5.0mm</t>
  </si>
  <si>
    <t>TROCAR PARA PIN DE CALIBRACION</t>
  </si>
  <si>
    <t>CAMISA DE FIJACION PARA TROCAR</t>
  </si>
  <si>
    <t>REAMER FLEXIBLES # 8.5,9, 9.5,10,10.5, 11,11.5,12,12.5,13</t>
  </si>
  <si>
    <t>GUIAS LARGAS</t>
  </si>
  <si>
    <t xml:space="preserve">LLAVE JACOBS </t>
  </si>
  <si>
    <t>PORTA BATERIA</t>
  </si>
  <si>
    <t>BATERIAS NEGRAS #1Y #2</t>
  </si>
  <si>
    <t xml:space="preserve">PINZA CORTADORA </t>
  </si>
  <si>
    <t xml:space="preserve">SPPAT </t>
  </si>
  <si>
    <t>184.310</t>
  </si>
  <si>
    <t>210936270</t>
  </si>
  <si>
    <t xml:space="preserve">METRO DE ALAMBRE QUIRURGICO *0.6mm ACERO </t>
  </si>
  <si>
    <t>184.313</t>
  </si>
  <si>
    <t xml:space="preserve">METRO DE ALAMBRE QUIRURGICO *1.0mm ACERO </t>
  </si>
  <si>
    <t>184.301</t>
  </si>
  <si>
    <t>210936271</t>
  </si>
  <si>
    <t xml:space="preserve">METRO DE ALAMBRE QUIRURGICO *1.2mm ACERO </t>
  </si>
  <si>
    <t>184.303</t>
  </si>
  <si>
    <t>210936961</t>
  </si>
  <si>
    <t xml:space="preserve">METRO DE ALAMBRE QUIRURGICO *1.5mm ACERO </t>
  </si>
  <si>
    <t>184.305</t>
  </si>
  <si>
    <t>211037899</t>
  </si>
  <si>
    <t xml:space="preserve">METRO DE ALAMBRE QUIRURGICO *1.8mm ACERO </t>
  </si>
  <si>
    <t>184.307</t>
  </si>
  <si>
    <t>210936962</t>
  </si>
  <si>
    <t xml:space="preserve">METRO DE ALAMBRE QUIRURGICO *2.0mm ACERO </t>
  </si>
  <si>
    <t>MOTOR CANULADO #1</t>
  </si>
  <si>
    <t>SEPARADORES HOMMAN MEDIANOS</t>
  </si>
  <si>
    <t>PINZAS REDUCTORAS CANGREJO ARANDELA</t>
  </si>
  <si>
    <t>GUBIA</t>
  </si>
  <si>
    <t>DESPERIO</t>
  </si>
  <si>
    <t>PASADOR DE ALAMBRE</t>
  </si>
  <si>
    <t>OSTEOTOMO</t>
  </si>
  <si>
    <t>SEPARADORES HOMMAN FINOS</t>
  </si>
  <si>
    <t>CURETA</t>
  </si>
  <si>
    <t>ENTREGADO POR:</t>
  </si>
  <si>
    <t>RECIBIDO POR:</t>
  </si>
  <si>
    <t>VERIFICADO POR:</t>
  </si>
  <si>
    <t>070932300</t>
  </si>
  <si>
    <t>B2101725</t>
  </si>
  <si>
    <t xml:space="preserve">CLAVO FEMUR EXPERT  9*300mm DER TIT. </t>
  </si>
  <si>
    <t>070932320</t>
  </si>
  <si>
    <t>G200709307</t>
  </si>
  <si>
    <t xml:space="preserve">CLAVO FEMUR EXPERT  9*320mm DER TIT. </t>
  </si>
  <si>
    <t>070932340</t>
  </si>
  <si>
    <t>J2102301</t>
  </si>
  <si>
    <t xml:space="preserve">CLAVO FEMUR EXPERT  9*340mm DER TIT. </t>
  </si>
  <si>
    <t>070932360</t>
  </si>
  <si>
    <t>J200709312</t>
  </si>
  <si>
    <t xml:space="preserve">CLAVO FEMUR EXPERT  9*360mm DER TIT. </t>
  </si>
  <si>
    <t>070932380</t>
  </si>
  <si>
    <t>B2101704</t>
  </si>
  <si>
    <t xml:space="preserve">CLAVO FEMUR EXPERT  9*380mm DER TIT. </t>
  </si>
  <si>
    <t>070932400</t>
  </si>
  <si>
    <t>2107185</t>
  </si>
  <si>
    <t xml:space="preserve">CLAVO FEMUR EXPERT  9*400mm DER TIT. </t>
  </si>
  <si>
    <t>070932420</t>
  </si>
  <si>
    <t>A2101210</t>
  </si>
  <si>
    <t xml:space="preserve">CLAVO FEMUR EXPERT  9*420mm DER TIT. </t>
  </si>
  <si>
    <t>070931320</t>
  </si>
  <si>
    <t>2102345</t>
  </si>
  <si>
    <t>070931340</t>
  </si>
  <si>
    <t>J2102345</t>
  </si>
  <si>
    <t>070931360</t>
  </si>
  <si>
    <t>J2102274</t>
  </si>
  <si>
    <t xml:space="preserve">CLAVO FEMUR EXPERT  9*360mm IZQ TIT. </t>
  </si>
  <si>
    <t>070931380</t>
  </si>
  <si>
    <t>H2102945</t>
  </si>
  <si>
    <t xml:space="preserve">CLAVO FEMUR EXPERT  9*380mm IZQ TIT. </t>
  </si>
  <si>
    <t>070931400</t>
  </si>
  <si>
    <t>1604070931</t>
  </si>
  <si>
    <t xml:space="preserve">CLAVO FEMUR EXPERT  9*400mm IZQ TIT. </t>
  </si>
  <si>
    <t>070931420</t>
  </si>
  <si>
    <t xml:space="preserve">CLAVO FEMUR EXPERT  9*420mm IZQ TIT. </t>
  </si>
  <si>
    <t>070942300</t>
  </si>
  <si>
    <t>A2101165</t>
  </si>
  <si>
    <t xml:space="preserve">CLAVO FEMUR EXPERT 10*300mm DER TIT. </t>
  </si>
  <si>
    <t>070942320</t>
  </si>
  <si>
    <t>J200709435</t>
  </si>
  <si>
    <t xml:space="preserve">CLAVO FEMUR EXPERT 10*320mm DER TIT. </t>
  </si>
  <si>
    <t>070942340</t>
  </si>
  <si>
    <t>L200709401</t>
  </si>
  <si>
    <t xml:space="preserve">CLAVO FEMUR EXPERT 10*340mm DER TIT. </t>
  </si>
  <si>
    <t>070942360</t>
  </si>
  <si>
    <t>K2100616</t>
  </si>
  <si>
    <t xml:space="preserve">CLAVO FEMUR EXPERT 10*360mm DER TIT. </t>
  </si>
  <si>
    <t>070942380</t>
  </si>
  <si>
    <t>2102329</t>
  </si>
  <si>
    <t xml:space="preserve">CLAVO FEMUR EXPERT 10*380mm DER TIT. </t>
  </si>
  <si>
    <t>070942400</t>
  </si>
  <si>
    <t xml:space="preserve">CLAVO FEMUR EXPERT 10*400mm DER TIT. </t>
  </si>
  <si>
    <t>070942420</t>
  </si>
  <si>
    <t xml:space="preserve">CLAVO FEMUR EXPERT 10*420mm DER TIT. </t>
  </si>
  <si>
    <t>070942460</t>
  </si>
  <si>
    <t>J2105542</t>
  </si>
  <si>
    <t xml:space="preserve">CLAVO FEMUR EXPERT 10*460mm DER TIT. </t>
  </si>
  <si>
    <t>070941300</t>
  </si>
  <si>
    <t>F180709401</t>
  </si>
  <si>
    <t xml:space="preserve">CLAVO FEMUR EXPERT 10*300mm IZQ TIT. </t>
  </si>
  <si>
    <t>070941320</t>
  </si>
  <si>
    <t>H2102957</t>
  </si>
  <si>
    <t>070941340</t>
  </si>
  <si>
    <t>L200709402</t>
  </si>
  <si>
    <t>070941360</t>
  </si>
  <si>
    <t>K2100607</t>
  </si>
  <si>
    <t>070941380</t>
  </si>
  <si>
    <t>H2107217</t>
  </si>
  <si>
    <t>070941400</t>
  </si>
  <si>
    <t>200709437</t>
  </si>
  <si>
    <t>070941420</t>
  </si>
  <si>
    <t>K200709437</t>
  </si>
  <si>
    <t>070952300</t>
  </si>
  <si>
    <t>B200709512</t>
  </si>
  <si>
    <t xml:space="preserve">CLAVO FEMUR EXPERT 11*300mm DER TIT. </t>
  </si>
  <si>
    <t>070952320</t>
  </si>
  <si>
    <t>200709512</t>
  </si>
  <si>
    <t xml:space="preserve">CLAVO FEMUR EXPERT 11*320mm DER TIT. </t>
  </si>
  <si>
    <t>070952340</t>
  </si>
  <si>
    <t>K200709512</t>
  </si>
  <si>
    <t xml:space="preserve">CLAVO FEMUR EXPERT 11*340mm DER TIT. </t>
  </si>
  <si>
    <t>070952360</t>
  </si>
  <si>
    <t xml:space="preserve">CLAVO FEMUR EXPERT 11*360mm DER TIT. </t>
  </si>
  <si>
    <t>070952380</t>
  </si>
  <si>
    <t>H2107133</t>
  </si>
  <si>
    <t xml:space="preserve">CLAVO FEMUR EXPERT 11*380mm DER TIT. </t>
  </si>
  <si>
    <t>070952400</t>
  </si>
  <si>
    <t>K200709509</t>
  </si>
  <si>
    <t xml:space="preserve">CLAVO FEMUR EXPERT 11*400mm DER TIT. </t>
  </si>
  <si>
    <t>070952420</t>
  </si>
  <si>
    <t>B190709510</t>
  </si>
  <si>
    <t xml:space="preserve">CLAVO FEMUR EXPERT 11*420mm DER TIT. </t>
  </si>
  <si>
    <t>070951300</t>
  </si>
  <si>
    <t>F180709501</t>
  </si>
  <si>
    <t>070951320</t>
  </si>
  <si>
    <t>200709502</t>
  </si>
  <si>
    <t>070951340</t>
  </si>
  <si>
    <t>L200709502</t>
  </si>
  <si>
    <t>070951360</t>
  </si>
  <si>
    <t>H200709524</t>
  </si>
  <si>
    <t>070951380</t>
  </si>
  <si>
    <t>200709513</t>
  </si>
  <si>
    <t>070951400</t>
  </si>
  <si>
    <t>K2100639</t>
  </si>
  <si>
    <t>070951420</t>
  </si>
  <si>
    <t>C2100934</t>
  </si>
  <si>
    <t>071220060</t>
  </si>
  <si>
    <t>C190712701</t>
  </si>
  <si>
    <t>TORNILLO DE CUELLO FEMORAL EXPERT 6.9*60mm TITANIO</t>
  </si>
  <si>
    <t>071220065</t>
  </si>
  <si>
    <t>B200712202</t>
  </si>
  <si>
    <t xml:space="preserve">TORNILLO DE CUELLO FEMORAL EXPERT 6.9*65mm TITANIO  </t>
  </si>
  <si>
    <t>071220070</t>
  </si>
  <si>
    <t>M2100177</t>
  </si>
  <si>
    <t xml:space="preserve">TORNILLO DE CUELLO FEMORAL EXPERT 6.9*70mm TITANIO </t>
  </si>
  <si>
    <t>071220075</t>
  </si>
  <si>
    <t>M2104919</t>
  </si>
  <si>
    <t xml:space="preserve">TORNILLO DE CUELLO FEMORAL EXPERT 6.9*75mm TITANIO </t>
  </si>
  <si>
    <t>071220080</t>
  </si>
  <si>
    <t>C2105854</t>
  </si>
  <si>
    <t xml:space="preserve">TORNILLO DE CUELLO FEMORAL EXPERT 6.9*80mm TITANIO </t>
  </si>
  <si>
    <t>071220085</t>
  </si>
  <si>
    <t>G2100244</t>
  </si>
  <si>
    <t xml:space="preserve">TORNILLO DE CUELLO FEMORAL EXPERT 6.9*85mm TITANIO </t>
  </si>
  <si>
    <t>071220090</t>
  </si>
  <si>
    <t>L2101190</t>
  </si>
  <si>
    <t xml:space="preserve">TORNILLO DE CUELLO FEMORAL EXPERT 6.9*90mm TITANIO </t>
  </si>
  <si>
    <t>071220095</t>
  </si>
  <si>
    <t>H2104304</t>
  </si>
  <si>
    <t>071220100</t>
  </si>
  <si>
    <t>C2105000</t>
  </si>
  <si>
    <t>071220105</t>
  </si>
  <si>
    <t>C2104602</t>
  </si>
  <si>
    <t>071220110</t>
  </si>
  <si>
    <t>C2104614</t>
  </si>
  <si>
    <t>071210026</t>
  </si>
  <si>
    <t>2007121J5</t>
  </si>
  <si>
    <t>TORNILLO DE BLOQUEO FEMUR EXPERT  4.9*26mm TITANIO</t>
  </si>
  <si>
    <t>071210028</t>
  </si>
  <si>
    <t>TORNILLO DE BLOQUEO FEMUR EXPERT  4.9*28mm TITANIO</t>
  </si>
  <si>
    <t>071210030</t>
  </si>
  <si>
    <t>2105499</t>
  </si>
  <si>
    <t>TORNILLO DE BLOQUEO FEMUR EXPERT  4.9*30mm TITANIO</t>
  </si>
  <si>
    <t>071210032</t>
  </si>
  <si>
    <t>2104570</t>
  </si>
  <si>
    <t>TORNILLO DE BLOQUEO FEMUR EXPERT  4.9*32mm TITANIO</t>
  </si>
  <si>
    <t>071210034</t>
  </si>
  <si>
    <t>2103345</t>
  </si>
  <si>
    <t>TORNILLO DE BLOQUEO FEMUR EXPERT  4.9*34mm TITANIO</t>
  </si>
  <si>
    <t>071210036</t>
  </si>
  <si>
    <t>2102352</t>
  </si>
  <si>
    <t>TORNILLO DE BLOQUEO FEMUR EXPERT  4.9*36mm TITANIO</t>
  </si>
  <si>
    <t>071210038</t>
  </si>
  <si>
    <t>TORNILLO DE BLOQUEO FEMUR EXPERT  4.9*38mm TITANIO</t>
  </si>
  <si>
    <t>071210040</t>
  </si>
  <si>
    <t>TORNILLO DE BLOQUEO FEMUR EXPERT  4.9*40mm TITANIO</t>
  </si>
  <si>
    <t>071210042</t>
  </si>
  <si>
    <t>TORNILLO DE BLOQUEO FEMUR EXPERT  4.9*42mm TITANIO</t>
  </si>
  <si>
    <t>071210044</t>
  </si>
  <si>
    <t>2108050</t>
  </si>
  <si>
    <t>TORNILLO DE BLOQUEO FEMUR EXPERT  4.9*44mm TITANIO</t>
  </si>
  <si>
    <t>071210046</t>
  </si>
  <si>
    <t>TORNILLO DE BLOQUEO FEMUR EXPERT  4.9*46mm TITANIO</t>
  </si>
  <si>
    <t>071210048</t>
  </si>
  <si>
    <t>2102849</t>
  </si>
  <si>
    <t>TORNILLO DE BLOQUEO FEMUR EXPERT  4.9*48mm TITANIO</t>
  </si>
  <si>
    <t>071210050</t>
  </si>
  <si>
    <t>2105800</t>
  </si>
  <si>
    <t>TORNILLO DE BLOQUEO FEMUR EXPERT  4.9*50mm TITANIO</t>
  </si>
  <si>
    <t>071210052</t>
  </si>
  <si>
    <t>TORNILLO DE BLOQUEO FEMUR EXPERT  4.9*52mm TITANIO</t>
  </si>
  <si>
    <t>071210054</t>
  </si>
  <si>
    <t>2102869</t>
  </si>
  <si>
    <t>TORNILLO DE BLOQUEO FEMUR EXPERT  4.9*54mm TITANIO</t>
  </si>
  <si>
    <t>071210056</t>
  </si>
  <si>
    <t>2102845</t>
  </si>
  <si>
    <t>TORNILLO DE BLOQUEO FEMUR EXPERT  4.9*56mm TITANIO</t>
  </si>
  <si>
    <t>071210058</t>
  </si>
  <si>
    <t>TORNILLO DE BLOQUEO FEMUR EXPERT  4.9*58mm TITANIO</t>
  </si>
  <si>
    <t>071210060</t>
  </si>
  <si>
    <t>2102306</t>
  </si>
  <si>
    <t>TORNILLO DE BLOQUEO FEMUR EXPERT  4.9*60mm TITANIO</t>
  </si>
  <si>
    <t>071210062</t>
  </si>
  <si>
    <t>2102652</t>
  </si>
  <si>
    <t>TORNILLO DE BLOQUEO FEMUR EXPERT  4.9*62mm TITANIO</t>
  </si>
  <si>
    <t>071210064</t>
  </si>
  <si>
    <t>200712103</t>
  </si>
  <si>
    <t>TORNILLO DE BLOQUEO FEMUR EXPERT  4.9*64mm TITANIO</t>
  </si>
  <si>
    <t>071210066</t>
  </si>
  <si>
    <t>TORNILLO DE BLOQUEO FEMUR EXPERT  4.9*66mm TITANIO</t>
  </si>
  <si>
    <t>071210068</t>
  </si>
  <si>
    <t>200712115</t>
  </si>
  <si>
    <t>TORNILLO DE BLOQUEO FEMUR EXPERT  4.9*68mm TITANIO</t>
  </si>
  <si>
    <t>071210070</t>
  </si>
  <si>
    <t>200712102</t>
  </si>
  <si>
    <t>TORNILLO DE BLOQUEO FEMUR EXPERT  4.9*70mm TITANIO</t>
  </si>
  <si>
    <t>071210072</t>
  </si>
  <si>
    <t>200712112</t>
  </si>
  <si>
    <t>TORNILLO DE BLOQUEO FEMUR EXPERT  4.9*72mm TITANIO</t>
  </si>
  <si>
    <t>071210074</t>
  </si>
  <si>
    <t>200712113</t>
  </si>
  <si>
    <t>TORNILLO DE BLOQUEO FEMUR EXPERT  4.9*74mm TITANIO</t>
  </si>
  <si>
    <t>071210076</t>
  </si>
  <si>
    <t>200712104</t>
  </si>
  <si>
    <t>TORNILLO DE BLOQUEO FEMUR EXPERT  4.9*76mm TITANIO</t>
  </si>
  <si>
    <t>071210078</t>
  </si>
  <si>
    <t>2101687</t>
  </si>
  <si>
    <t>TORNILLO DE BLOQUEO FEMUR EXPERT  4.9*78mm TITANIO</t>
  </si>
  <si>
    <t>071210080</t>
  </si>
  <si>
    <t>190712101</t>
  </si>
  <si>
    <t>TORNILLO DE BLOQUEO FEMUR EXPERT  4.9*80mm TITANIO</t>
  </si>
  <si>
    <t>071210085</t>
  </si>
  <si>
    <t>190712125</t>
  </si>
  <si>
    <t>TORNILLO DE BLOQUEO FEMUR EXPERT  4.9*85mm TITANIO</t>
  </si>
  <si>
    <t>PROTECTOR DE TEJIDOS BLANDOS</t>
  </si>
  <si>
    <t>BROCA CANULADA  Φ14.2/ Φ3.2</t>
  </si>
  <si>
    <t>GUIAS ROSCADAS  Φ3.2*400mm</t>
  </si>
  <si>
    <t>REGLA RADIOGRAFICA</t>
  </si>
  <si>
    <t>MANGO EN T ANCLAJE RAPIDO</t>
  </si>
  <si>
    <t>SOPORTE PARA CABLE GUIA</t>
  </si>
  <si>
    <t>BANDEJA MEDIA</t>
  </si>
  <si>
    <t>MEDIDOR DE PROFUNDIDAD</t>
  </si>
  <si>
    <t>ATORNILLADOR STARDRIVE CANULADO T30</t>
  </si>
  <si>
    <t>VARILLA DE REDUCCION</t>
  </si>
  <si>
    <t xml:space="preserve">BROCA DE FIJACION CANULADA Φ8 </t>
  </si>
  <si>
    <t>LLAVE EN T PARA TORNILLO DE CONEXIÓN</t>
  </si>
  <si>
    <t>BROCA Φ4.2mm CON TOPE</t>
  </si>
  <si>
    <t xml:space="preserve">BROCA Φ4.2mm </t>
  </si>
  <si>
    <t xml:space="preserve">PINES LISOS </t>
  </si>
  <si>
    <t xml:space="preserve">PINES ROSCADOS </t>
  </si>
  <si>
    <t>MEDIDOR DE PROFUNDIDAD CANULADO</t>
  </si>
  <si>
    <t>CAMISAS EXTERIOR PARA BLOQUEO DISTAL</t>
  </si>
  <si>
    <t>GUIA DE BROCA PARA BLOQUEO DISTAL</t>
  </si>
  <si>
    <t>GUIA DE BROCA Φ2.5</t>
  </si>
  <si>
    <t>TROCAR</t>
  </si>
  <si>
    <t>MANGO DE INSERCION</t>
  </si>
  <si>
    <t>BRAZO APUNTADOR</t>
  </si>
  <si>
    <t>EJE DEL CONECTOR DEL BLOQUE DE CONEXIONES</t>
  </si>
  <si>
    <t>TORNILLOS DE CONEXIÓN PARA CLAVO</t>
  </si>
  <si>
    <t>GUIA 465mm</t>
  </si>
  <si>
    <t>CAMISA DE BROCA Φ8.1/Φ5</t>
  </si>
  <si>
    <t>TORNILLO DE COMPRESION</t>
  </si>
  <si>
    <t>PASADOR EN T DE CALIBRACION</t>
  </si>
  <si>
    <t>BLOQUE DE UBICACIÓN PARA EL EXTREMO DISTAL</t>
  </si>
  <si>
    <t>TORNILLO DE BLOQUEO PARA MANGO DE INSERCION</t>
  </si>
  <si>
    <t>TORNILLO DE CONEXIÓN PARA EJE DIRECCIONAL</t>
  </si>
  <si>
    <t>BROCA CABEZA PLANA EN T Φ5.0</t>
  </si>
  <si>
    <t>BROCA ANCLAJE RAPIDO Φ5.0*250mm</t>
  </si>
  <si>
    <t>LLAVE SW11</t>
  </si>
  <si>
    <t>BRAZO DE UBICACIÓN DISTAL</t>
  </si>
  <si>
    <t>TORNILLO DE EXTRACCION PARA CLAVO</t>
  </si>
  <si>
    <t>VASTAGO DIRECCIONAL DISTAL</t>
  </si>
  <si>
    <t>VASTAGO DIRECCIONAL PROXIMAL</t>
  </si>
  <si>
    <t>CAMISA DE BROCA Φ10/8.1</t>
  </si>
  <si>
    <t>TROCAR  Φ8.1</t>
  </si>
  <si>
    <t>LLAVE PARA MANGUITO DE FIJACION SW3</t>
  </si>
  <si>
    <t>LLAVE HEXAGONAL EN L SW5</t>
  </si>
  <si>
    <t>TORNILLOS DE BLOQUEO PARA EJE DIRECCIONAL M6</t>
  </si>
  <si>
    <t>ATORNILLADOR STARDRIVE ANCLAJE RAPIDO T25</t>
  </si>
  <si>
    <t>LLAVE UNIVERSAL SW6.5</t>
  </si>
  <si>
    <t>ATORNILLADOR STARDRIVE T25</t>
  </si>
  <si>
    <t>REAMERS FLEXIBLES # 9, 9.5, 10, 10.5, 11, 11.5, 12, 13</t>
  </si>
  <si>
    <t xml:space="preserve">9:00AM </t>
  </si>
  <si>
    <t>070931300</t>
  </si>
  <si>
    <t>A190709302</t>
  </si>
  <si>
    <t xml:space="preserve">CLAVO FEMUR EXPERT  9*320mm IZQ TIT. </t>
  </si>
  <si>
    <t xml:space="preserve">CLAVO FEMUR EXPERT  9*340mm IZQ TIT. </t>
  </si>
  <si>
    <t>C2101977</t>
  </si>
  <si>
    <t xml:space="preserve">CLAVO FEMUR EXPERT 10*320mm IZQ TIT. </t>
  </si>
  <si>
    <t xml:space="preserve">CLAVO FEMUR EXPERT 10*340mm IZQ TIT. </t>
  </si>
  <si>
    <t xml:space="preserve">CLAVO FEMUR EXPERT 10*360mm IZQ TIT. </t>
  </si>
  <si>
    <t xml:space="preserve">CLAVO FEMUR EXPERT 10*380mm IZQ TIT. </t>
  </si>
  <si>
    <t xml:space="preserve">CLAVO FEMUR EXPERT 10*400mm IZQ TIT. </t>
  </si>
  <si>
    <t xml:space="preserve">CLAVO FEMUR EXPERT 10*420mm IZQ TIT. </t>
  </si>
  <si>
    <t>A190709506</t>
  </si>
  <si>
    <t xml:space="preserve">CLAVO FEMUR EXPERT 11*300mm IZQ TIT. </t>
  </si>
  <si>
    <t xml:space="preserve">CLAVO FEMUR EXPERT 11*320mm IZQ TIT. </t>
  </si>
  <si>
    <t xml:space="preserve">CLAVO FEMUR EXPERT 11*340mm IZQ TIT. </t>
  </si>
  <si>
    <t xml:space="preserve">CLAVO FEMUR EXPERT 11*360mm IZQ TIT. </t>
  </si>
  <si>
    <t xml:space="preserve">CLAVO FEMUR EXPERT 11*380mm IZQ TIT. </t>
  </si>
  <si>
    <t xml:space="preserve">CLAVO FEMUR EXPERT 11*400mm IZQ TIT. </t>
  </si>
  <si>
    <t xml:space="preserve">CLAVO FEMUR EXPERT 11*420mm IZQ TIT. </t>
  </si>
  <si>
    <t>070962360</t>
  </si>
  <si>
    <t>200709507</t>
  </si>
  <si>
    <t xml:space="preserve">CLAVO FEMUR EXPERT 12*360mm DER TIT. </t>
  </si>
  <si>
    <t>070962380</t>
  </si>
  <si>
    <t xml:space="preserve">CLAVO FEMUR EXPERT 12*380mm DER TIT. </t>
  </si>
  <si>
    <t>070962400</t>
  </si>
  <si>
    <t xml:space="preserve">CLAVO FEMUR EXPERT 12*400mm DER TIT. </t>
  </si>
  <si>
    <t>070962420</t>
  </si>
  <si>
    <t xml:space="preserve">CLAVO FEMUR EXPERT 12*420mm DER TIT. </t>
  </si>
  <si>
    <t>070961360</t>
  </si>
  <si>
    <t>200709524</t>
  </si>
  <si>
    <t xml:space="preserve">CLAVO FEMUR EXPERT 12*360mm IZQ TIT. </t>
  </si>
  <si>
    <t>070961380</t>
  </si>
  <si>
    <t xml:space="preserve">CLAVO FEMUR EXPERT 12*380mm IZQ TIT. </t>
  </si>
  <si>
    <t>070961400</t>
  </si>
  <si>
    <t xml:space="preserve">CLAVO FEMUR EXPERT 12*400mm IZQ TIT. </t>
  </si>
  <si>
    <t>070961420</t>
  </si>
  <si>
    <t xml:space="preserve">CLAVO FEMUR EXPERT 12*420mm IZQ TIT. </t>
  </si>
  <si>
    <t>C2103279</t>
  </si>
  <si>
    <t>L2101218</t>
  </si>
  <si>
    <t xml:space="preserve">TORNILLO DE CUELLO FEMORAL EXPERT 6.9*95mm TITANIO </t>
  </si>
  <si>
    <t xml:space="preserve">TORNILLO DE CUELLO FEMORAL EXPERT 6.9*100mm TITANIO </t>
  </si>
  <si>
    <t xml:space="preserve">TORNILLO DE CUELLO FEMORAL EXPERT 6.9*105mm TITANIO </t>
  </si>
  <si>
    <t xml:space="preserve">TORNILLO DE CUELLO FEMORAL EXPERT 6.9*110mm TITANIO </t>
  </si>
  <si>
    <t>M200712149</t>
  </si>
  <si>
    <t>J2105790</t>
  </si>
  <si>
    <t>A2102811</t>
  </si>
  <si>
    <t>J2102270</t>
  </si>
  <si>
    <t>L2007121J2</t>
  </si>
  <si>
    <t>J2102316</t>
  </si>
  <si>
    <t>K200712107</t>
  </si>
  <si>
    <t>INSTRUMENTAL CLAVO EXPERT  FEMUR # 1</t>
  </si>
  <si>
    <t>MANGA MULTIAGUJEROS</t>
  </si>
  <si>
    <t>MANGA DE PROTECCION</t>
  </si>
  <si>
    <t>INICIADOR CANULADO</t>
  </si>
  <si>
    <t>GUIA DE MARTILLO PARA MARTILLO DESLIZANTE</t>
  </si>
  <si>
    <t>EQUIPO BASICO DHS-DCS</t>
  </si>
  <si>
    <t>SEPARADORES TRINCHES</t>
  </si>
  <si>
    <t>SEPARADORES DE BENNET</t>
  </si>
  <si>
    <t>SEPARADORES HOMMAN FINOS LARGO</t>
  </si>
  <si>
    <t xml:space="preserve">SEPARADORES HOMMAN ANCHOS </t>
  </si>
  <si>
    <t>PINZA VERBRUGUER ARANDELA</t>
  </si>
  <si>
    <t>MANGO TORQUE</t>
  </si>
  <si>
    <t xml:space="preserve">MARTILLO MACIZO </t>
  </si>
  <si>
    <t>ROLLO DE ALAMBRE</t>
  </si>
  <si>
    <t>MOTOR CANULADO STRYKER</t>
  </si>
  <si>
    <t xml:space="preserve"> BATERIAS NEGRAS</t>
  </si>
  <si>
    <t>BANDEJA VERDE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</si>
</sst>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_-&quot;$&quot;\ * #,##0.00_-;\-&quot;$&quot;\ * #,##0.00_-;_-&quot;$&quot;\ * &quot;-&quot;??_-;_-@_-"/>
    <numFmt numFmtId="165" formatCode="_ &quot;$&quot;* #,##0.00_ ;_ &quot;$&quot;* \-#,##0.00_ ;_ &quot;$&quot;* &quot;-&quot;??_ ;_ @_ "/>
    <numFmt numFmtId="166" formatCode="_(&quot;$&quot;* #,##0.00_);_(&quot;$&quot;* \(#,##0.00\);_(&quot;$&quot;* &quot;-&quot;??_);_(@_)"/>
    <numFmt numFmtId="167" formatCode="[$-F800]dddd\,\ mmmm\ dd\,\ yyyy"/>
    <numFmt numFmtId="168" formatCode="_ &quot;$&quot;* #,##0_ ;_ &quot;$&quot;* \-#,##0_ ;_ &quot;$&quot;* &quot;-&quot;_ ;_ @_ "/>
    <numFmt numFmtId="169" formatCode="&quot;$&quot;#,##0.00"/>
  </numFmts>
  <fonts count="34" x14ac:knownFonts="1"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10"/>
      <color theme="1"/>
      <name val="Arial"/>
      <family val="2"/>
    </font>
    <font>
      <sz val="10"/>
      <name val="Arial"/>
      <family val="2"/>
    </font>
    <font>
      <b/>
      <u/>
      <sz val="14"/>
      <color theme="1"/>
      <name val="Arial"/>
      <family val="2"/>
    </font>
    <font>
      <b/>
      <u/>
      <sz val="18"/>
      <color theme="1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b/>
      <sz val="12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rgb="FFFF0000"/>
      <name val="Calibri"/>
      <family val="2"/>
      <scheme val="minor"/>
    </font>
    <font>
      <sz val="12"/>
      <color indexed="8"/>
      <name val="Arial"/>
      <family val="2"/>
    </font>
    <font>
      <sz val="12"/>
      <color theme="1"/>
      <name val="Arial"/>
      <family val="2"/>
    </font>
    <font>
      <b/>
      <sz val="12"/>
      <color theme="1"/>
      <name val="Arial"/>
      <family val="2"/>
    </font>
    <font>
      <sz val="9"/>
      <color indexed="81"/>
      <name val="Tahoma"/>
      <family val="2"/>
    </font>
    <font>
      <b/>
      <sz val="13"/>
      <color indexed="81"/>
      <name val="Tahoma"/>
      <family val="2"/>
    </font>
    <font>
      <b/>
      <sz val="12"/>
      <color indexed="81"/>
      <name val="Tahoma"/>
      <family val="2"/>
    </font>
    <font>
      <sz val="12"/>
      <color indexed="81"/>
      <name val="Tahoma"/>
      <family val="2"/>
    </font>
    <font>
      <b/>
      <sz val="12"/>
      <name val="Calibri"/>
      <family val="2"/>
      <scheme val="minor"/>
    </font>
    <font>
      <b/>
      <sz val="11"/>
      <color theme="1"/>
      <name val="Arial"/>
      <family val="2"/>
    </font>
    <font>
      <b/>
      <sz val="11"/>
      <color rgb="FF000000"/>
      <name val="Arial"/>
      <family val="2"/>
    </font>
    <font>
      <sz val="11"/>
      <color theme="1"/>
      <name val="Calibri"/>
      <family val="2"/>
      <scheme val="minor"/>
    </font>
    <font>
      <b/>
      <sz val="20"/>
      <color rgb="FF0070C0"/>
      <name val="Arial"/>
      <family val="2"/>
    </font>
    <font>
      <sz val="11"/>
      <color theme="0"/>
      <name val="Calibri"/>
      <family val="2"/>
      <scheme val="minor"/>
    </font>
    <font>
      <b/>
      <sz val="14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sz val="14"/>
      <color theme="1"/>
      <name val="Arial"/>
      <family val="2"/>
    </font>
    <font>
      <sz val="12"/>
      <color theme="1"/>
      <name val="Calibri"/>
      <family val="2"/>
      <scheme val="minor"/>
    </font>
    <font>
      <b/>
      <sz val="14"/>
      <name val="Arial"/>
      <family val="2"/>
    </font>
    <font>
      <sz val="14"/>
      <name val="Arial"/>
      <family val="2"/>
    </font>
    <font>
      <b/>
      <sz val="14"/>
      <color theme="0"/>
      <name val="Arial"/>
      <family val="2"/>
    </font>
    <font>
      <b/>
      <sz val="14"/>
      <color indexed="8"/>
      <name val="Arial"/>
      <family val="2"/>
    </font>
    <font>
      <sz val="14"/>
      <color indexed="8"/>
      <name val="Arial"/>
      <family val="2"/>
    </font>
  </fonts>
  <fills count="1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/>
        <bgColor theme="8" tint="0.79998168889431442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theme="9" tint="0.79998168889431442"/>
      </patternFill>
    </fill>
    <fill>
      <patternFill patternType="solid">
        <fgColor theme="6" tint="0.59999389629810485"/>
        <bgColor indexed="0"/>
      </patternFill>
    </fill>
    <fill>
      <patternFill patternType="solid">
        <fgColor theme="0"/>
        <bgColor theme="4" tint="0.79998168889431442"/>
      </patternFill>
    </fill>
    <fill>
      <patternFill patternType="solid">
        <fgColor rgb="FF002060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medium">
        <color indexed="64"/>
      </bottom>
      <diagonal/>
    </border>
  </borders>
  <cellStyleXfs count="17">
    <xf numFmtId="0" fontId="0" fillId="0" borderId="0"/>
    <xf numFmtId="0" fontId="3" fillId="0" borderId="0"/>
    <xf numFmtId="166" fontId="3" fillId="0" borderId="0" applyFont="0" applyFill="0" applyBorder="0" applyAlignment="0" applyProtection="0"/>
    <xf numFmtId="165" fontId="21" fillId="0" borderId="0" applyFont="0" applyFill="0" applyBorder="0" applyAlignment="0" applyProtection="0"/>
    <xf numFmtId="0" fontId="3" fillId="0" borderId="0"/>
    <xf numFmtId="0" fontId="3" fillId="0" borderId="0"/>
    <xf numFmtId="165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5" fontId="21" fillId="0" borderId="0" applyFont="0" applyFill="0" applyBorder="0" applyAlignment="0" applyProtection="0"/>
    <xf numFmtId="168" fontId="21" fillId="0" borderId="0" applyFont="0" applyFill="0" applyBorder="0" applyAlignment="0" applyProtection="0"/>
    <xf numFmtId="165" fontId="21" fillId="0" borderId="0" applyFont="0" applyFill="0" applyBorder="0" applyAlignment="0" applyProtection="0"/>
    <xf numFmtId="165" fontId="21" fillId="0" borderId="0" applyFont="0" applyFill="0" applyBorder="0" applyAlignment="0" applyProtection="0"/>
    <xf numFmtId="165" fontId="21" fillId="0" borderId="0" applyFont="0" applyFill="0" applyBorder="0" applyAlignment="0" applyProtection="0"/>
    <xf numFmtId="165" fontId="21" fillId="0" borderId="0" applyFont="0" applyFill="0" applyBorder="0" applyAlignment="0" applyProtection="0"/>
    <xf numFmtId="165" fontId="21" fillId="0" borderId="0" applyFont="0" applyFill="0" applyBorder="0" applyAlignment="0" applyProtection="0"/>
    <xf numFmtId="165" fontId="21" fillId="0" borderId="0" applyFont="0" applyFill="0" applyBorder="0" applyAlignment="0" applyProtection="0"/>
    <xf numFmtId="165" fontId="21" fillId="0" borderId="0" applyFont="0" applyFill="0" applyBorder="0" applyAlignment="0" applyProtection="0"/>
  </cellStyleXfs>
  <cellXfs count="139">
    <xf numFmtId="0" fontId="0" fillId="0" borderId="0" xfId="0"/>
    <xf numFmtId="0" fontId="0" fillId="0" borderId="5" xfId="0" applyBorder="1" applyProtection="1">
      <protection locked="0"/>
    </xf>
    <xf numFmtId="0" fontId="0" fillId="0" borderId="6" xfId="0" applyBorder="1" applyAlignment="1" applyProtection="1">
      <alignment horizontal="center"/>
      <protection locked="0"/>
    </xf>
    <xf numFmtId="0" fontId="1" fillId="2" borderId="0" xfId="0" applyFont="1" applyFill="1" applyAlignment="1" applyProtection="1">
      <alignment horizontal="left" vertical="center"/>
      <protection locked="0"/>
    </xf>
    <xf numFmtId="14" fontId="2" fillId="0" borderId="0" xfId="0" applyNumberFormat="1" applyFont="1" applyAlignment="1" applyProtection="1">
      <alignment horizontal="center" vertical="center" wrapText="1"/>
      <protection locked="0"/>
    </xf>
    <xf numFmtId="0" fontId="2" fillId="0" borderId="0" xfId="0" applyFont="1" applyAlignment="1" applyProtection="1">
      <alignment horizontal="center" vertical="center" wrapText="1"/>
      <protection locked="0"/>
    </xf>
    <xf numFmtId="0" fontId="0" fillId="0" borderId="0" xfId="0" applyProtection="1">
      <protection locked="0"/>
    </xf>
    <xf numFmtId="0" fontId="0" fillId="0" borderId="7" xfId="0" applyBorder="1" applyProtection="1">
      <protection locked="0"/>
    </xf>
    <xf numFmtId="0" fontId="0" fillId="0" borderId="2" xfId="0" applyBorder="1" applyAlignment="1" applyProtection="1">
      <alignment horizontal="center"/>
      <protection locked="0"/>
    </xf>
    <xf numFmtId="0" fontId="20" fillId="0" borderId="1" xfId="0" applyFont="1" applyBorder="1" applyAlignment="1" applyProtection="1">
      <alignment vertical="center" wrapText="1"/>
      <protection locked="0"/>
    </xf>
    <xf numFmtId="0" fontId="7" fillId="0" borderId="0" xfId="0" applyFont="1" applyProtection="1">
      <protection locked="0"/>
    </xf>
    <xf numFmtId="14" fontId="20" fillId="0" borderId="1" xfId="0" applyNumberFormat="1" applyFont="1" applyBorder="1" applyAlignment="1" applyProtection="1">
      <alignment vertical="center" wrapText="1"/>
      <protection locked="0"/>
    </xf>
    <xf numFmtId="0" fontId="22" fillId="6" borderId="1" xfId="0" applyFont="1" applyFill="1" applyBorder="1" applyAlignment="1" applyProtection="1">
      <alignment horizontal="center" vertical="center"/>
      <protection locked="0"/>
    </xf>
    <xf numFmtId="0" fontId="4" fillId="0" borderId="8" xfId="1" applyFont="1" applyBorder="1" applyProtection="1">
      <protection locked="0"/>
    </xf>
    <xf numFmtId="0" fontId="4" fillId="0" borderId="9" xfId="1" applyFont="1" applyBorder="1" applyProtection="1">
      <protection locked="0"/>
    </xf>
    <xf numFmtId="0" fontId="5" fillId="0" borderId="0" xfId="1" applyFont="1" applyProtection="1">
      <protection locked="0"/>
    </xf>
    <xf numFmtId="0" fontId="6" fillId="0" borderId="0" xfId="0" applyFont="1" applyAlignment="1" applyProtection="1">
      <alignment horizontal="center" vertical="center"/>
      <protection locked="0"/>
    </xf>
    <xf numFmtId="0" fontId="4" fillId="0" borderId="0" xfId="1" applyFont="1" applyProtection="1">
      <protection locked="0"/>
    </xf>
    <xf numFmtId="0" fontId="8" fillId="3" borderId="0" xfId="0" applyFont="1" applyFill="1" applyAlignment="1" applyProtection="1">
      <alignment vertical="center"/>
      <protection locked="0"/>
    </xf>
    <xf numFmtId="0" fontId="18" fillId="2" borderId="1" xfId="0" applyFont="1" applyFill="1" applyBorder="1" applyAlignment="1" applyProtection="1">
      <alignment horizontal="center" vertical="center"/>
      <protection locked="0"/>
    </xf>
    <xf numFmtId="0" fontId="9" fillId="0" borderId="0" xfId="0" applyFont="1" applyAlignment="1" applyProtection="1">
      <alignment horizontal="left"/>
      <protection locked="0"/>
    </xf>
    <xf numFmtId="0" fontId="8" fillId="3" borderId="0" xfId="0" applyFont="1" applyFill="1" applyAlignment="1" applyProtection="1">
      <alignment vertical="center" wrapText="1"/>
      <protection locked="0"/>
    </xf>
    <xf numFmtId="0" fontId="9" fillId="0" borderId="1" xfId="0" applyFont="1" applyBorder="1" applyAlignment="1" applyProtection="1">
      <alignment vertical="center"/>
      <protection locked="0"/>
    </xf>
    <xf numFmtId="49" fontId="9" fillId="2" borderId="1" xfId="0" applyNumberFormat="1" applyFont="1" applyFill="1" applyBorder="1" applyAlignment="1" applyProtection="1">
      <alignment horizontal="left" vertical="center"/>
      <protection locked="0"/>
    </xf>
    <xf numFmtId="167" fontId="9" fillId="0" borderId="1" xfId="0" applyNumberFormat="1" applyFont="1" applyBorder="1" applyAlignment="1" applyProtection="1">
      <alignment horizontal="left" vertical="center"/>
      <protection locked="0"/>
    </xf>
    <xf numFmtId="20" fontId="9" fillId="0" borderId="1" xfId="0" applyNumberFormat="1" applyFont="1" applyBorder="1" applyAlignment="1" applyProtection="1">
      <alignment vertical="center"/>
      <protection locked="0"/>
    </xf>
    <xf numFmtId="0" fontId="9" fillId="0" borderId="0" xfId="0" applyFont="1" applyAlignment="1" applyProtection="1">
      <alignment vertical="center"/>
      <protection locked="0"/>
    </xf>
    <xf numFmtId="0" fontId="9" fillId="0" borderId="0" xfId="0" applyFont="1" applyAlignment="1" applyProtection="1">
      <alignment horizontal="left" vertical="center"/>
      <protection locked="0"/>
    </xf>
    <xf numFmtId="49" fontId="18" fillId="0" borderId="1" xfId="0" applyNumberFormat="1" applyFont="1" applyBorder="1" applyAlignment="1" applyProtection="1">
      <alignment horizontal="left" vertical="center"/>
      <protection locked="0"/>
    </xf>
    <xf numFmtId="0" fontId="10" fillId="0" borderId="0" xfId="0" applyFont="1" applyAlignment="1" applyProtection="1">
      <alignment vertical="center"/>
      <protection locked="0"/>
    </xf>
    <xf numFmtId="0" fontId="10" fillId="0" borderId="0" xfId="0" applyFont="1" applyAlignment="1" applyProtection="1">
      <alignment horizontal="left" vertical="center"/>
      <protection locked="0"/>
    </xf>
    <xf numFmtId="0" fontId="12" fillId="0" borderId="0" xfId="0" applyFont="1" applyProtection="1">
      <protection locked="0"/>
    </xf>
    <xf numFmtId="0" fontId="12" fillId="0" borderId="0" xfId="0" applyFont="1" applyAlignment="1" applyProtection="1">
      <alignment horizontal="center"/>
      <protection locked="0"/>
    </xf>
    <xf numFmtId="0" fontId="11" fillId="0" borderId="0" xfId="0" applyFont="1" applyAlignment="1" applyProtection="1">
      <alignment horizontal="left" vertical="top"/>
      <protection locked="0"/>
    </xf>
    <xf numFmtId="0" fontId="7" fillId="0" borderId="0" xfId="0" applyFont="1" applyAlignment="1" applyProtection="1">
      <alignment wrapText="1"/>
      <protection locked="0"/>
    </xf>
    <xf numFmtId="0" fontId="7" fillId="0" borderId="0" xfId="0" applyFont="1" applyAlignment="1" applyProtection="1">
      <alignment horizontal="left"/>
      <protection locked="0"/>
    </xf>
    <xf numFmtId="0" fontId="23" fillId="0" borderId="0" xfId="0" applyFont="1"/>
    <xf numFmtId="0" fontId="19" fillId="4" borderId="1" xfId="0" applyFont="1" applyFill="1" applyBorder="1" applyAlignment="1">
      <alignment horizontal="center" wrapText="1"/>
    </xf>
    <xf numFmtId="0" fontId="19" fillId="4" borderId="1" xfId="0" applyFont="1" applyFill="1" applyBorder="1" applyAlignment="1">
      <alignment horizontal="center"/>
    </xf>
    <xf numFmtId="0" fontId="25" fillId="8" borderId="1" xfId="0" applyFont="1" applyFill="1" applyBorder="1" applyAlignment="1" applyProtection="1">
      <alignment horizontal="center" wrapText="1" readingOrder="1"/>
      <protection locked="0"/>
    </xf>
    <xf numFmtId="0" fontId="25" fillId="8" borderId="1" xfId="0" applyFont="1" applyFill="1" applyBorder="1" applyAlignment="1" applyProtection="1">
      <alignment horizontal="center" vertical="center" wrapText="1" readingOrder="1"/>
      <protection locked="0"/>
    </xf>
    <xf numFmtId="0" fontId="26" fillId="0" borderId="1" xfId="0" applyFont="1" applyBorder="1" applyAlignment="1" applyProtection="1">
      <alignment wrapText="1" readingOrder="1"/>
      <protection locked="0"/>
    </xf>
    <xf numFmtId="169" fontId="26" fillId="0" borderId="1" xfId="7" applyNumberFormat="1" applyFont="1" applyBorder="1" applyAlignment="1">
      <alignment horizontal="right"/>
    </xf>
    <xf numFmtId="0" fontId="26" fillId="0" borderId="1" xfId="0" applyFont="1" applyBorder="1" applyAlignment="1" applyProtection="1">
      <alignment horizontal="left" wrapText="1" readingOrder="1"/>
      <protection locked="0"/>
    </xf>
    <xf numFmtId="0" fontId="1" fillId="2" borderId="1" xfId="0" applyFont="1" applyFill="1" applyBorder="1"/>
    <xf numFmtId="0" fontId="1" fillId="7" borderId="1" xfId="0" applyFont="1" applyFill="1" applyBorder="1"/>
    <xf numFmtId="0" fontId="1" fillId="0" borderId="1" xfId="0" applyFont="1" applyBorder="1" applyAlignment="1">
      <alignment wrapText="1"/>
    </xf>
    <xf numFmtId="0" fontId="26" fillId="0" borderId="1" xfId="0" applyFont="1" applyBorder="1" applyAlignment="1" applyProtection="1">
      <alignment horizontal="left" readingOrder="1"/>
      <protection locked="0"/>
    </xf>
    <xf numFmtId="0" fontId="26" fillId="0" borderId="0" xfId="0" applyFont="1" applyAlignment="1">
      <alignment horizontal="center" readingOrder="1"/>
    </xf>
    <xf numFmtId="0" fontId="1" fillId="0" borderId="0" xfId="0" applyFont="1" applyAlignment="1">
      <alignment horizontal="center"/>
    </xf>
    <xf numFmtId="0" fontId="26" fillId="0" borderId="0" xfId="0" applyFont="1" applyAlignment="1" applyProtection="1">
      <alignment readingOrder="1"/>
      <protection locked="0"/>
    </xf>
    <xf numFmtId="0" fontId="1" fillId="0" borderId="0" xfId="1" applyFont="1" applyAlignment="1">
      <alignment horizontal="center"/>
    </xf>
    <xf numFmtId="169" fontId="19" fillId="0" borderId="0" xfId="1" applyNumberFormat="1" applyFont="1" applyAlignment="1">
      <alignment wrapText="1"/>
    </xf>
    <xf numFmtId="0" fontId="26" fillId="0" borderId="0" xfId="0" applyFont="1"/>
    <xf numFmtId="0" fontId="26" fillId="0" borderId="0" xfId="0" applyFont="1" applyAlignment="1">
      <alignment wrapText="1"/>
    </xf>
    <xf numFmtId="0" fontId="1" fillId="0" borderId="0" xfId="1" applyFont="1" applyAlignment="1">
      <alignment horizontal="left"/>
    </xf>
    <xf numFmtId="0" fontId="1" fillId="0" borderId="0" xfId="1" applyFont="1"/>
    <xf numFmtId="0" fontId="26" fillId="0" borderId="0" xfId="0" applyFont="1" applyProtection="1">
      <protection locked="0"/>
    </xf>
    <xf numFmtId="0" fontId="26" fillId="0" borderId="0" xfId="0" applyFont="1" applyAlignment="1">
      <alignment horizontal="left"/>
    </xf>
    <xf numFmtId="0" fontId="26" fillId="0" borderId="0" xfId="0" applyFont="1" applyAlignment="1" applyProtection="1">
      <alignment horizontal="left"/>
      <protection locked="0"/>
    </xf>
    <xf numFmtId="169" fontId="1" fillId="0" borderId="1" xfId="12" applyNumberFormat="1" applyFont="1" applyBorder="1" applyAlignment="1">
      <alignment horizontal="right"/>
    </xf>
    <xf numFmtId="169" fontId="19" fillId="0" borderId="0" xfId="12" applyNumberFormat="1" applyFont="1" applyBorder="1" applyAlignment="1"/>
    <xf numFmtId="0" fontId="1" fillId="0" borderId="3" xfId="0" applyFont="1" applyBorder="1"/>
    <xf numFmtId="0" fontId="1" fillId="0" borderId="0" xfId="0" applyFont="1"/>
    <xf numFmtId="169" fontId="13" fillId="0" borderId="1" xfId="13" applyNumberFormat="1" applyFont="1" applyBorder="1" applyAlignment="1"/>
    <xf numFmtId="169" fontId="24" fillId="0" borderId="0" xfId="1" applyNumberFormat="1" applyFont="1" applyAlignment="1">
      <alignment wrapText="1"/>
    </xf>
    <xf numFmtId="169" fontId="24" fillId="0" borderId="0" xfId="1" applyNumberFormat="1" applyFont="1"/>
    <xf numFmtId="0" fontId="9" fillId="0" borderId="0" xfId="0" applyFont="1" applyAlignment="1">
      <alignment horizontal="left"/>
    </xf>
    <xf numFmtId="0" fontId="9" fillId="0" borderId="1" xfId="0" applyFont="1" applyBorder="1" applyAlignment="1">
      <alignment vertical="center" wrapText="1"/>
    </xf>
    <xf numFmtId="0" fontId="9" fillId="2" borderId="1" xfId="0" applyFont="1" applyFill="1" applyBorder="1" applyAlignment="1">
      <alignment vertical="center"/>
    </xf>
    <xf numFmtId="0" fontId="18" fillId="2" borderId="1" xfId="0" applyFont="1" applyFill="1" applyBorder="1" applyAlignment="1">
      <alignment horizontal="center" vertical="center"/>
    </xf>
    <xf numFmtId="49" fontId="12" fillId="5" borderId="1" xfId="0" applyNumberFormat="1" applyFont="1" applyFill="1" applyBorder="1" applyAlignment="1">
      <alignment horizontal="center"/>
    </xf>
    <xf numFmtId="49" fontId="12" fillId="5" borderId="1" xfId="0" applyNumberFormat="1" applyFont="1" applyFill="1" applyBorder="1" applyAlignment="1">
      <alignment horizontal="left"/>
    </xf>
    <xf numFmtId="0" fontId="7" fillId="2" borderId="1" xfId="0" applyFont="1" applyFill="1" applyBorder="1" applyAlignment="1">
      <alignment horizontal="center"/>
    </xf>
    <xf numFmtId="49" fontId="12" fillId="2" borderId="1" xfId="0" applyNumberFormat="1" applyFont="1" applyFill="1" applyBorder="1" applyAlignment="1">
      <alignment horizontal="center"/>
    </xf>
    <xf numFmtId="49" fontId="12" fillId="2" borderId="1" xfId="0" applyNumberFormat="1" applyFont="1" applyFill="1" applyBorder="1" applyAlignment="1">
      <alignment horizontal="left"/>
    </xf>
    <xf numFmtId="0" fontId="6" fillId="2" borderId="1" xfId="0" applyFont="1" applyFill="1" applyBorder="1" applyAlignment="1">
      <alignment horizontal="center"/>
    </xf>
    <xf numFmtId="0" fontId="28" fillId="9" borderId="11" xfId="0" applyFont="1" applyFill="1" applyBorder="1"/>
    <xf numFmtId="49" fontId="12" fillId="5" borderId="1" xfId="0" applyNumberFormat="1" applyFont="1" applyFill="1" applyBorder="1" applyAlignment="1">
      <alignment horizontal="center" vertical="center"/>
    </xf>
    <xf numFmtId="49" fontId="12" fillId="2" borderId="1" xfId="0" applyNumberFormat="1" applyFont="1" applyFill="1" applyBorder="1" applyAlignment="1">
      <alignment horizontal="center" vertical="center"/>
    </xf>
    <xf numFmtId="0" fontId="7" fillId="2" borderId="10" xfId="0" applyFont="1" applyFill="1" applyBorder="1" applyAlignment="1">
      <alignment horizontal="center"/>
    </xf>
    <xf numFmtId="0" fontId="7" fillId="2" borderId="10" xfId="0" applyFont="1" applyFill="1" applyBorder="1"/>
    <xf numFmtId="0" fontId="7" fillId="5" borderId="1" xfId="0" applyFont="1" applyFill="1" applyBorder="1"/>
    <xf numFmtId="0" fontId="7" fillId="2" borderId="1" xfId="0" applyFont="1" applyFill="1" applyBorder="1"/>
    <xf numFmtId="0" fontId="24" fillId="0" borderId="1" xfId="0" applyFont="1" applyBorder="1" applyAlignment="1">
      <alignment horizontal="center"/>
    </xf>
    <xf numFmtId="0" fontId="27" fillId="0" borderId="1" xfId="0" applyFont="1" applyBorder="1"/>
    <xf numFmtId="0" fontId="27" fillId="0" borderId="1" xfId="0" applyFont="1" applyBorder="1" applyAlignment="1">
      <alignment horizontal="center"/>
    </xf>
    <xf numFmtId="0" fontId="27" fillId="0" borderId="1" xfId="0" applyFont="1" applyBorder="1" applyAlignment="1">
      <alignment horizontal="left" wrapText="1"/>
    </xf>
    <xf numFmtId="0" fontId="27" fillId="0" borderId="1" xfId="0" applyFont="1" applyBorder="1" applyAlignment="1">
      <alignment horizontal="left"/>
    </xf>
    <xf numFmtId="0" fontId="12" fillId="0" borderId="1" xfId="0" applyFont="1" applyBorder="1" applyAlignment="1">
      <alignment horizontal="left" wrapText="1"/>
    </xf>
    <xf numFmtId="0" fontId="24" fillId="0" borderId="1" xfId="0" applyFont="1" applyBorder="1"/>
    <xf numFmtId="0" fontId="12" fillId="0" borderId="1" xfId="0" applyFont="1" applyBorder="1" applyAlignment="1">
      <alignment horizontal="center"/>
    </xf>
    <xf numFmtId="0" fontId="12" fillId="5" borderId="1" xfId="0" applyFont="1" applyFill="1" applyBorder="1" applyAlignment="1">
      <alignment horizontal="left"/>
    </xf>
    <xf numFmtId="1" fontId="12" fillId="5" borderId="1" xfId="0" applyNumberFormat="1" applyFont="1" applyFill="1" applyBorder="1" applyAlignment="1">
      <alignment horizontal="center"/>
    </xf>
    <xf numFmtId="0" fontId="12" fillId="2" borderId="1" xfId="0" applyFont="1" applyFill="1" applyBorder="1" applyAlignment="1">
      <alignment horizontal="left"/>
    </xf>
    <xf numFmtId="0" fontId="12" fillId="2" borderId="1" xfId="0" applyFont="1" applyFill="1" applyBorder="1" applyAlignment="1">
      <alignment horizontal="center"/>
    </xf>
    <xf numFmtId="0" fontId="6" fillId="0" borderId="0" xfId="0" applyFont="1" applyProtection="1">
      <protection locked="0"/>
    </xf>
    <xf numFmtId="0" fontId="7" fillId="0" borderId="1" xfId="0" applyFont="1" applyBorder="1" applyAlignment="1">
      <alignment horizontal="center"/>
    </xf>
    <xf numFmtId="0" fontId="7" fillId="0" borderId="0" xfId="0" applyFont="1"/>
    <xf numFmtId="0" fontId="7" fillId="0" borderId="0" xfId="0" applyFont="1" applyAlignment="1">
      <alignment horizontal="left"/>
    </xf>
    <xf numFmtId="0" fontId="7" fillId="0" borderId="0" xfId="0" applyFont="1" applyAlignment="1">
      <alignment wrapText="1"/>
    </xf>
    <xf numFmtId="0" fontId="6" fillId="0" borderId="1" xfId="0" applyFont="1" applyBorder="1" applyAlignment="1">
      <alignment horizontal="center"/>
    </xf>
    <xf numFmtId="49" fontId="12" fillId="0" borderId="0" xfId="0" applyNumberFormat="1" applyFont="1"/>
    <xf numFmtId="0" fontId="12" fillId="0" borderId="12" xfId="0" applyFont="1" applyBorder="1"/>
    <xf numFmtId="0" fontId="28" fillId="0" borderId="12" xfId="0" applyFont="1" applyBorder="1"/>
    <xf numFmtId="0" fontId="12" fillId="0" borderId="0" xfId="0" applyFont="1"/>
    <xf numFmtId="0" fontId="28" fillId="0" borderId="0" xfId="0" applyFont="1"/>
    <xf numFmtId="49" fontId="1" fillId="0" borderId="0" xfId="0" applyNumberFormat="1" applyFont="1"/>
    <xf numFmtId="49" fontId="12" fillId="0" borderId="0" xfId="1" applyNumberFormat="1" applyFont="1" applyAlignment="1">
      <alignment horizontal="left"/>
    </xf>
    <xf numFmtId="0" fontId="12" fillId="0" borderId="0" xfId="1" applyFont="1" applyAlignment="1">
      <alignment horizontal="left"/>
    </xf>
    <xf numFmtId="0" fontId="12" fillId="0" borderId="0" xfId="1" applyFont="1" applyAlignment="1">
      <alignment wrapText="1"/>
    </xf>
    <xf numFmtId="0" fontId="12" fillId="0" borderId="0" xfId="0" applyFont="1" applyAlignment="1">
      <alignment horizontal="center"/>
    </xf>
    <xf numFmtId="0" fontId="12" fillId="0" borderId="12" xfId="0" applyFont="1" applyBorder="1" applyAlignment="1">
      <alignment horizontal="center"/>
    </xf>
    <xf numFmtId="0" fontId="30" fillId="2" borderId="1" xfId="0" applyFont="1" applyFill="1" applyBorder="1"/>
    <xf numFmtId="49" fontId="27" fillId="2" borderId="1" xfId="0" applyNumberFormat="1" applyFont="1" applyFill="1" applyBorder="1" applyAlignment="1">
      <alignment horizontal="center"/>
    </xf>
    <xf numFmtId="0" fontId="29" fillId="2" borderId="1" xfId="0" applyFont="1" applyFill="1" applyBorder="1" applyAlignment="1">
      <alignment horizontal="center"/>
    </xf>
    <xf numFmtId="49" fontId="24" fillId="2" borderId="1" xfId="0" applyNumberFormat="1" applyFont="1" applyFill="1" applyBorder="1" applyAlignment="1">
      <alignment horizontal="center"/>
    </xf>
    <xf numFmtId="0" fontId="30" fillId="2" borderId="1" xfId="0" applyFont="1" applyFill="1" applyBorder="1" applyAlignment="1">
      <alignment horizontal="left"/>
    </xf>
    <xf numFmtId="0" fontId="30" fillId="0" borderId="1" xfId="0" applyFont="1" applyBorder="1" applyAlignment="1">
      <alignment horizontal="left" readingOrder="1"/>
    </xf>
    <xf numFmtId="0" fontId="8" fillId="3" borderId="0" xfId="0" applyFont="1" applyFill="1" applyAlignment="1" applyProtection="1">
      <alignment horizontal="left" vertical="center"/>
      <protection locked="0"/>
    </xf>
    <xf numFmtId="0" fontId="8" fillId="3" borderId="2" xfId="0" applyFont="1" applyFill="1" applyBorder="1" applyAlignment="1" applyProtection="1">
      <alignment horizontal="left" vertical="center"/>
      <protection locked="0"/>
    </xf>
    <xf numFmtId="0" fontId="6" fillId="0" borderId="0" xfId="0" applyFont="1" applyAlignment="1" applyProtection="1">
      <alignment horizontal="center" vertical="center"/>
      <protection locked="0"/>
    </xf>
    <xf numFmtId="0" fontId="19" fillId="2" borderId="1" xfId="0" applyFont="1" applyFill="1" applyBorder="1" applyAlignment="1" applyProtection="1">
      <alignment horizontal="left" vertical="center"/>
      <protection locked="0"/>
    </xf>
    <xf numFmtId="0" fontId="19" fillId="0" borderId="4" xfId="0" applyFont="1" applyBorder="1" applyAlignment="1" applyProtection="1">
      <alignment horizontal="center"/>
      <protection locked="0"/>
    </xf>
    <xf numFmtId="0" fontId="13" fillId="0" borderId="4" xfId="0" applyFont="1" applyBorder="1" applyAlignment="1" applyProtection="1">
      <alignment horizontal="center" vertical="center"/>
      <protection locked="0"/>
    </xf>
    <xf numFmtId="2" fontId="12" fillId="2" borderId="1" xfId="0" applyNumberFormat="1" applyFont="1" applyFill="1" applyBorder="1" applyAlignment="1">
      <alignment horizontal="left"/>
    </xf>
    <xf numFmtId="2" fontId="12" fillId="2" borderId="10" xfId="0" applyNumberFormat="1" applyFont="1" applyFill="1" applyBorder="1" applyAlignment="1">
      <alignment horizontal="left"/>
    </xf>
    <xf numFmtId="49" fontId="12" fillId="5" borderId="10" xfId="0" applyNumberFormat="1" applyFont="1" applyFill="1" applyBorder="1" applyAlignment="1">
      <alignment horizontal="left"/>
    </xf>
    <xf numFmtId="49" fontId="12" fillId="2" borderId="0" xfId="0" applyNumberFormat="1" applyFont="1" applyFill="1" applyBorder="1" applyAlignment="1">
      <alignment horizontal="center"/>
    </xf>
    <xf numFmtId="0" fontId="6" fillId="0" borderId="0" xfId="0" applyFont="1" applyBorder="1" applyAlignment="1">
      <alignment horizontal="center"/>
    </xf>
    <xf numFmtId="0" fontId="30" fillId="2" borderId="0" xfId="0" applyFont="1" applyFill="1" applyBorder="1"/>
    <xf numFmtId="0" fontId="7" fillId="2" borderId="0" xfId="0" applyFont="1" applyFill="1" applyBorder="1"/>
    <xf numFmtId="0" fontId="7" fillId="0" borderId="0" xfId="0" applyFont="1" applyBorder="1"/>
    <xf numFmtId="0" fontId="7" fillId="0" borderId="0" xfId="0" applyFont="1" applyBorder="1" applyAlignment="1">
      <alignment wrapText="1"/>
    </xf>
    <xf numFmtId="0" fontId="31" fillId="10" borderId="1" xfId="0" applyFont="1" applyFill="1" applyBorder="1" applyAlignment="1">
      <alignment horizontal="center"/>
    </xf>
    <xf numFmtId="0" fontId="32" fillId="0" borderId="1" xfId="0" applyFont="1" applyBorder="1" applyAlignment="1">
      <alignment horizontal="center" vertical="center"/>
    </xf>
    <xf numFmtId="0" fontId="32" fillId="0" borderId="1" xfId="0" applyFont="1" applyBorder="1" applyAlignment="1">
      <alignment horizontal="center" vertical="top"/>
    </xf>
    <xf numFmtId="0" fontId="33" fillId="0" borderId="1" xfId="0" applyFont="1" applyBorder="1" applyAlignment="1">
      <alignment horizontal="center" vertical="center"/>
    </xf>
    <xf numFmtId="0" fontId="33" fillId="0" borderId="1" xfId="0" applyFont="1" applyBorder="1" applyAlignment="1">
      <alignment horizontal="left" vertical="top"/>
    </xf>
  </cellXfs>
  <cellStyles count="17">
    <cellStyle name="Moneda [0] 2" xfId="9" xr:uid="{00000000-0005-0000-0000-000000000000}"/>
    <cellStyle name="Moneda 10" xfId="16" xr:uid="{9AD6CDC1-18CE-4692-8300-1355605D3830}"/>
    <cellStyle name="Moneda 2" xfId="3" xr:uid="{00000000-0005-0000-0000-000001000000}"/>
    <cellStyle name="Moneda 3" xfId="11" xr:uid="{00000000-0005-0000-0000-000002000000}"/>
    <cellStyle name="Moneda 3 2" xfId="2" xr:uid="{00000000-0005-0000-0000-000003000000}"/>
    <cellStyle name="Moneda 3 2 2" xfId="6" xr:uid="{00000000-0005-0000-0000-000004000000}"/>
    <cellStyle name="Moneda 3 2 3" xfId="7" xr:uid="{00000000-0005-0000-0000-000005000000}"/>
    <cellStyle name="Moneda 4" xfId="8" xr:uid="{00000000-0005-0000-0000-000006000000}"/>
    <cellStyle name="Moneda 5" xfId="10" xr:uid="{00000000-0005-0000-0000-000007000000}"/>
    <cellStyle name="Moneda 6" xfId="12" xr:uid="{00000000-0005-0000-0000-000008000000}"/>
    <cellStyle name="Moneda 7" xfId="13" xr:uid="{00000000-0005-0000-0000-000009000000}"/>
    <cellStyle name="Moneda 8" xfId="14" xr:uid="{ED009067-4380-42CD-835A-E22F1396AD5E}"/>
    <cellStyle name="Moneda 9" xfId="15" xr:uid="{A524ADA8-B2A4-4248-8946-1951F35951C6}"/>
    <cellStyle name="Normal" xfId="0" builtinId="0"/>
    <cellStyle name="Normal 2" xfId="1" xr:uid="{00000000-0005-0000-0000-00000B000000}"/>
    <cellStyle name="Normal 3" xfId="5" xr:uid="{00000000-0005-0000-0000-00000C000000}"/>
    <cellStyle name="Normal 3 2" xfId="4" xr:uid="{00000000-0005-0000-0000-00000D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243941</xdr:colOff>
      <xdr:row>1</xdr:row>
      <xdr:rowOff>101132</xdr:rowOff>
    </xdr:from>
    <xdr:ext cx="1444255" cy="699857"/>
    <xdr:pic>
      <xdr:nvPicPr>
        <xdr:cNvPr id="8" name="Imagen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109" t="14395" r="13790" b="32822"/>
        <a:stretch/>
      </xdr:blipFill>
      <xdr:spPr>
        <a:xfrm>
          <a:off x="243941" y="351163"/>
          <a:ext cx="1444255" cy="699857"/>
        </a:xfrm>
        <a:prstGeom prst="rect">
          <a:avLst/>
        </a:prstGeom>
      </xdr:spPr>
    </xdr:pic>
    <xdr:clientData/>
  </xdr:oneCellAnchor>
  <xdr:twoCellAnchor>
    <xdr:from>
      <xdr:col>7</xdr:col>
      <xdr:colOff>79942</xdr:colOff>
      <xdr:row>0</xdr:row>
      <xdr:rowOff>236426</xdr:rowOff>
    </xdr:from>
    <xdr:to>
      <xdr:col>8</xdr:col>
      <xdr:colOff>1707696</xdr:colOff>
      <xdr:row>2</xdr:row>
      <xdr:rowOff>112259</xdr:rowOff>
    </xdr:to>
    <xdr:sp macro="[0]!Módulo2.Buscar" textlink="">
      <xdr:nvSpPr>
        <xdr:cNvPr id="2" name="Marco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2772005" y="236426"/>
          <a:ext cx="1723004" cy="375896"/>
        </a:xfrm>
        <a:prstGeom prst="frame">
          <a:avLst/>
        </a:prstGeom>
        <a:scene3d>
          <a:camera prst="orthographicFront"/>
          <a:lightRig rig="threePt" dir="t"/>
        </a:scene3d>
        <a:sp3d>
          <a:bevelT w="114300" prst="artDeco"/>
        </a:sp3d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200">
              <a:solidFill>
                <a:schemeClr val="tx1"/>
              </a:solidFill>
            </a:rPr>
            <a:t>Actualizar Informacion</a:t>
          </a:r>
          <a:r>
            <a:rPr lang="en-US" sz="1200" baseline="0">
              <a:solidFill>
                <a:schemeClr val="tx1"/>
              </a:solidFill>
            </a:rPr>
            <a:t> </a:t>
          </a:r>
          <a:endParaRPr lang="en-US" sz="1200">
            <a:solidFill>
              <a:schemeClr val="tx1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243941</xdr:colOff>
      <xdr:row>1</xdr:row>
      <xdr:rowOff>136851</xdr:rowOff>
    </xdr:from>
    <xdr:ext cx="1444255" cy="699857"/>
    <xdr:pic>
      <xdr:nvPicPr>
        <xdr:cNvPr id="2" name="Imagen 1">
          <a:extLst>
            <a:ext uri="{FF2B5EF4-FFF2-40B4-BE49-F238E27FC236}">
              <a16:creationId xmlns:a16="http://schemas.microsoft.com/office/drawing/2014/main" id="{B42A2886-5D55-48A2-81C1-6466C221C63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109" t="14395" r="13790" b="32822"/>
        <a:stretch/>
      </xdr:blipFill>
      <xdr:spPr>
        <a:xfrm>
          <a:off x="243941" y="384501"/>
          <a:ext cx="1444255" cy="699857"/>
        </a:xfrm>
        <a:prstGeom prst="rect">
          <a:avLst/>
        </a:prstGeom>
      </xdr:spPr>
    </xdr:pic>
    <xdr:clientData/>
  </xdr:oneCellAnchor>
  <xdr:twoCellAnchor>
    <xdr:from>
      <xdr:col>7</xdr:col>
      <xdr:colOff>79942</xdr:colOff>
      <xdr:row>0</xdr:row>
      <xdr:rowOff>236426</xdr:rowOff>
    </xdr:from>
    <xdr:to>
      <xdr:col>8</xdr:col>
      <xdr:colOff>1707696</xdr:colOff>
      <xdr:row>2</xdr:row>
      <xdr:rowOff>112259</xdr:rowOff>
    </xdr:to>
    <xdr:sp macro="[0]!Módulo2.Buscar" textlink="">
      <xdr:nvSpPr>
        <xdr:cNvPr id="3" name="Marco 2">
          <a:extLst>
            <a:ext uri="{FF2B5EF4-FFF2-40B4-BE49-F238E27FC236}">
              <a16:creationId xmlns:a16="http://schemas.microsoft.com/office/drawing/2014/main" id="{1BE785AC-CFB2-44B8-8E15-137F13A85E22}"/>
            </a:ext>
          </a:extLst>
        </xdr:cNvPr>
        <xdr:cNvSpPr/>
      </xdr:nvSpPr>
      <xdr:spPr>
        <a:xfrm>
          <a:off x="12757717" y="236426"/>
          <a:ext cx="1723004" cy="371133"/>
        </a:xfrm>
        <a:prstGeom prst="frame">
          <a:avLst/>
        </a:prstGeom>
        <a:scene3d>
          <a:camera prst="orthographicFront"/>
          <a:lightRig rig="threePt" dir="t"/>
        </a:scene3d>
        <a:sp3d>
          <a:bevelT w="114300" prst="artDeco"/>
        </a:sp3d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200">
              <a:solidFill>
                <a:schemeClr val="tx1"/>
              </a:solidFill>
            </a:rPr>
            <a:t>Actualizar Informacion</a:t>
          </a:r>
          <a:r>
            <a:rPr lang="en-US" sz="1200" baseline="0">
              <a:solidFill>
                <a:schemeClr val="tx1"/>
              </a:solidFill>
            </a:rPr>
            <a:t> </a:t>
          </a:r>
          <a:endParaRPr lang="en-US" sz="1200">
            <a:solidFill>
              <a:schemeClr val="tx1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2:O240"/>
  <sheetViews>
    <sheetView showGridLines="0" tabSelected="1" zoomScale="80" zoomScaleNormal="80" zoomScaleSheetLayoutView="100" zoomScalePageLayoutView="80" workbookViewId="0">
      <pane xSplit="2" ySplit="5" topLeftCell="C212" activePane="bottomRight" state="frozen"/>
      <selection pane="topRight" activeCell="C1" sqref="C1"/>
      <selection pane="bottomLeft" activeCell="A6" sqref="A6"/>
      <selection pane="bottomRight" sqref="A1:E244"/>
    </sheetView>
  </sheetViews>
  <sheetFormatPr baseColWidth="10" defaultColWidth="11.42578125" defaultRowHeight="20.100000000000001" customHeight="1" x14ac:dyDescent="0.2"/>
  <cols>
    <col min="1" max="1" width="18.85546875" style="10" customWidth="1"/>
    <col min="2" max="2" width="16" style="35" customWidth="1"/>
    <col min="3" max="3" width="86.7109375" style="34" bestFit="1" customWidth="1"/>
    <col min="4" max="4" width="19.85546875" style="34" customWidth="1"/>
    <col min="5" max="5" width="16.5703125" style="34" customWidth="1"/>
    <col min="6" max="6" width="16.28515625" style="10" customWidth="1"/>
    <col min="7" max="7" width="15.85546875" style="10" customWidth="1"/>
    <col min="8" max="8" width="1.42578125" style="10" customWidth="1"/>
    <col min="9" max="9" width="26.28515625" style="10" customWidth="1"/>
    <col min="10" max="10" width="5.85546875" style="10" customWidth="1"/>
    <col min="11" max="11" width="72.42578125" style="10" bestFit="1" customWidth="1"/>
    <col min="12" max="12" width="11.42578125" style="10"/>
    <col min="13" max="13" width="14.42578125" style="10" bestFit="1" customWidth="1"/>
    <col min="14" max="14" width="50.140625" style="10" bestFit="1" customWidth="1"/>
    <col min="15" max="259" width="11.42578125" style="10"/>
    <col min="260" max="260" width="13.140625" style="10" customWidth="1"/>
    <col min="261" max="261" width="15.140625" style="10" customWidth="1"/>
    <col min="262" max="262" width="42" style="10" customWidth="1"/>
    <col min="263" max="263" width="11.42578125" style="10"/>
    <col min="264" max="264" width="13.140625" style="10" customWidth="1"/>
    <col min="265" max="515" width="11.42578125" style="10"/>
    <col min="516" max="516" width="13.140625" style="10" customWidth="1"/>
    <col min="517" max="517" width="15.140625" style="10" customWidth="1"/>
    <col min="518" max="518" width="42" style="10" customWidth="1"/>
    <col min="519" max="519" width="11.42578125" style="10"/>
    <col min="520" max="520" width="13.140625" style="10" customWidth="1"/>
    <col min="521" max="771" width="11.42578125" style="10"/>
    <col min="772" max="772" width="13.140625" style="10" customWidth="1"/>
    <col min="773" max="773" width="15.140625" style="10" customWidth="1"/>
    <col min="774" max="774" width="42" style="10" customWidth="1"/>
    <col min="775" max="775" width="11.42578125" style="10"/>
    <col min="776" max="776" width="13.140625" style="10" customWidth="1"/>
    <col min="777" max="1027" width="11.42578125" style="10"/>
    <col min="1028" max="1028" width="13.140625" style="10" customWidth="1"/>
    <col min="1029" max="1029" width="15.140625" style="10" customWidth="1"/>
    <col min="1030" max="1030" width="42" style="10" customWidth="1"/>
    <col min="1031" max="1031" width="11.42578125" style="10"/>
    <col min="1032" max="1032" width="13.140625" style="10" customWidth="1"/>
    <col min="1033" max="1283" width="11.42578125" style="10"/>
    <col min="1284" max="1284" width="13.140625" style="10" customWidth="1"/>
    <col min="1285" max="1285" width="15.140625" style="10" customWidth="1"/>
    <col min="1286" max="1286" width="42" style="10" customWidth="1"/>
    <col min="1287" max="1287" width="11.42578125" style="10"/>
    <col min="1288" max="1288" width="13.140625" style="10" customWidth="1"/>
    <col min="1289" max="1539" width="11.42578125" style="10"/>
    <col min="1540" max="1540" width="13.140625" style="10" customWidth="1"/>
    <col min="1541" max="1541" width="15.140625" style="10" customWidth="1"/>
    <col min="1542" max="1542" width="42" style="10" customWidth="1"/>
    <col min="1543" max="1543" width="11.42578125" style="10"/>
    <col min="1544" max="1544" width="13.140625" style="10" customWidth="1"/>
    <col min="1545" max="1795" width="11.42578125" style="10"/>
    <col min="1796" max="1796" width="13.140625" style="10" customWidth="1"/>
    <col min="1797" max="1797" width="15.140625" style="10" customWidth="1"/>
    <col min="1798" max="1798" width="42" style="10" customWidth="1"/>
    <col min="1799" max="1799" width="11.42578125" style="10"/>
    <col min="1800" max="1800" width="13.140625" style="10" customWidth="1"/>
    <col min="1801" max="2051" width="11.42578125" style="10"/>
    <col min="2052" max="2052" width="13.140625" style="10" customWidth="1"/>
    <col min="2053" max="2053" width="15.140625" style="10" customWidth="1"/>
    <col min="2054" max="2054" width="42" style="10" customWidth="1"/>
    <col min="2055" max="2055" width="11.42578125" style="10"/>
    <col min="2056" max="2056" width="13.140625" style="10" customWidth="1"/>
    <col min="2057" max="2307" width="11.42578125" style="10"/>
    <col min="2308" max="2308" width="13.140625" style="10" customWidth="1"/>
    <col min="2309" max="2309" width="15.140625" style="10" customWidth="1"/>
    <col min="2310" max="2310" width="42" style="10" customWidth="1"/>
    <col min="2311" max="2311" width="11.42578125" style="10"/>
    <col min="2312" max="2312" width="13.140625" style="10" customWidth="1"/>
    <col min="2313" max="2563" width="11.42578125" style="10"/>
    <col min="2564" max="2564" width="13.140625" style="10" customWidth="1"/>
    <col min="2565" max="2565" width="15.140625" style="10" customWidth="1"/>
    <col min="2566" max="2566" width="42" style="10" customWidth="1"/>
    <col min="2567" max="2567" width="11.42578125" style="10"/>
    <col min="2568" max="2568" width="13.140625" style="10" customWidth="1"/>
    <col min="2569" max="2819" width="11.42578125" style="10"/>
    <col min="2820" max="2820" width="13.140625" style="10" customWidth="1"/>
    <col min="2821" max="2821" width="15.140625" style="10" customWidth="1"/>
    <col min="2822" max="2822" width="42" style="10" customWidth="1"/>
    <col min="2823" max="2823" width="11.42578125" style="10"/>
    <col min="2824" max="2824" width="13.140625" style="10" customWidth="1"/>
    <col min="2825" max="3075" width="11.42578125" style="10"/>
    <col min="3076" max="3076" width="13.140625" style="10" customWidth="1"/>
    <col min="3077" max="3077" width="15.140625" style="10" customWidth="1"/>
    <col min="3078" max="3078" width="42" style="10" customWidth="1"/>
    <col min="3079" max="3079" width="11.42578125" style="10"/>
    <col min="3080" max="3080" width="13.140625" style="10" customWidth="1"/>
    <col min="3081" max="3331" width="11.42578125" style="10"/>
    <col min="3332" max="3332" width="13.140625" style="10" customWidth="1"/>
    <col min="3333" max="3333" width="15.140625" style="10" customWidth="1"/>
    <col min="3334" max="3334" width="42" style="10" customWidth="1"/>
    <col min="3335" max="3335" width="11.42578125" style="10"/>
    <col min="3336" max="3336" width="13.140625" style="10" customWidth="1"/>
    <col min="3337" max="3587" width="11.42578125" style="10"/>
    <col min="3588" max="3588" width="13.140625" style="10" customWidth="1"/>
    <col min="3589" max="3589" width="15.140625" style="10" customWidth="1"/>
    <col min="3590" max="3590" width="42" style="10" customWidth="1"/>
    <col min="3591" max="3591" width="11.42578125" style="10"/>
    <col min="3592" max="3592" width="13.140625" style="10" customWidth="1"/>
    <col min="3593" max="3843" width="11.42578125" style="10"/>
    <col min="3844" max="3844" width="13.140625" style="10" customWidth="1"/>
    <col min="3845" max="3845" width="15.140625" style="10" customWidth="1"/>
    <col min="3846" max="3846" width="42" style="10" customWidth="1"/>
    <col min="3847" max="3847" width="11.42578125" style="10"/>
    <col min="3848" max="3848" width="13.140625" style="10" customWidth="1"/>
    <col min="3849" max="4099" width="11.42578125" style="10"/>
    <col min="4100" max="4100" width="13.140625" style="10" customWidth="1"/>
    <col min="4101" max="4101" width="15.140625" style="10" customWidth="1"/>
    <col min="4102" max="4102" width="42" style="10" customWidth="1"/>
    <col min="4103" max="4103" width="11.42578125" style="10"/>
    <col min="4104" max="4104" width="13.140625" style="10" customWidth="1"/>
    <col min="4105" max="4355" width="11.42578125" style="10"/>
    <col min="4356" max="4356" width="13.140625" style="10" customWidth="1"/>
    <col min="4357" max="4357" width="15.140625" style="10" customWidth="1"/>
    <col min="4358" max="4358" width="42" style="10" customWidth="1"/>
    <col min="4359" max="4359" width="11.42578125" style="10"/>
    <col min="4360" max="4360" width="13.140625" style="10" customWidth="1"/>
    <col min="4361" max="4611" width="11.42578125" style="10"/>
    <col min="4612" max="4612" width="13.140625" style="10" customWidth="1"/>
    <col min="4613" max="4613" width="15.140625" style="10" customWidth="1"/>
    <col min="4614" max="4614" width="42" style="10" customWidth="1"/>
    <col min="4615" max="4615" width="11.42578125" style="10"/>
    <col min="4616" max="4616" width="13.140625" style="10" customWidth="1"/>
    <col min="4617" max="4867" width="11.42578125" style="10"/>
    <col min="4868" max="4868" width="13.140625" style="10" customWidth="1"/>
    <col min="4869" max="4869" width="15.140625" style="10" customWidth="1"/>
    <col min="4870" max="4870" width="42" style="10" customWidth="1"/>
    <col min="4871" max="4871" width="11.42578125" style="10"/>
    <col min="4872" max="4872" width="13.140625" style="10" customWidth="1"/>
    <col min="4873" max="5123" width="11.42578125" style="10"/>
    <col min="5124" max="5124" width="13.140625" style="10" customWidth="1"/>
    <col min="5125" max="5125" width="15.140625" style="10" customWidth="1"/>
    <col min="5126" max="5126" width="42" style="10" customWidth="1"/>
    <col min="5127" max="5127" width="11.42578125" style="10"/>
    <col min="5128" max="5128" width="13.140625" style="10" customWidth="1"/>
    <col min="5129" max="5379" width="11.42578125" style="10"/>
    <col min="5380" max="5380" width="13.140625" style="10" customWidth="1"/>
    <col min="5381" max="5381" width="15.140625" style="10" customWidth="1"/>
    <col min="5382" max="5382" width="42" style="10" customWidth="1"/>
    <col min="5383" max="5383" width="11.42578125" style="10"/>
    <col min="5384" max="5384" width="13.140625" style="10" customWidth="1"/>
    <col min="5385" max="5635" width="11.42578125" style="10"/>
    <col min="5636" max="5636" width="13.140625" style="10" customWidth="1"/>
    <col min="5637" max="5637" width="15.140625" style="10" customWidth="1"/>
    <col min="5638" max="5638" width="42" style="10" customWidth="1"/>
    <col min="5639" max="5639" width="11.42578125" style="10"/>
    <col min="5640" max="5640" width="13.140625" style="10" customWidth="1"/>
    <col min="5641" max="5891" width="11.42578125" style="10"/>
    <col min="5892" max="5892" width="13.140625" style="10" customWidth="1"/>
    <col min="5893" max="5893" width="15.140625" style="10" customWidth="1"/>
    <col min="5894" max="5894" width="42" style="10" customWidth="1"/>
    <col min="5895" max="5895" width="11.42578125" style="10"/>
    <col min="5896" max="5896" width="13.140625" style="10" customWidth="1"/>
    <col min="5897" max="6147" width="11.42578125" style="10"/>
    <col min="6148" max="6148" width="13.140625" style="10" customWidth="1"/>
    <col min="6149" max="6149" width="15.140625" style="10" customWidth="1"/>
    <col min="6150" max="6150" width="42" style="10" customWidth="1"/>
    <col min="6151" max="6151" width="11.42578125" style="10"/>
    <col min="6152" max="6152" width="13.140625" style="10" customWidth="1"/>
    <col min="6153" max="6403" width="11.42578125" style="10"/>
    <col min="6404" max="6404" width="13.140625" style="10" customWidth="1"/>
    <col min="6405" max="6405" width="15.140625" style="10" customWidth="1"/>
    <col min="6406" max="6406" width="42" style="10" customWidth="1"/>
    <col min="6407" max="6407" width="11.42578125" style="10"/>
    <col min="6408" max="6408" width="13.140625" style="10" customWidth="1"/>
    <col min="6409" max="6659" width="11.42578125" style="10"/>
    <col min="6660" max="6660" width="13.140625" style="10" customWidth="1"/>
    <col min="6661" max="6661" width="15.140625" style="10" customWidth="1"/>
    <col min="6662" max="6662" width="42" style="10" customWidth="1"/>
    <col min="6663" max="6663" width="11.42578125" style="10"/>
    <col min="6664" max="6664" width="13.140625" style="10" customWidth="1"/>
    <col min="6665" max="6915" width="11.42578125" style="10"/>
    <col min="6916" max="6916" width="13.140625" style="10" customWidth="1"/>
    <col min="6917" max="6917" width="15.140625" style="10" customWidth="1"/>
    <col min="6918" max="6918" width="42" style="10" customWidth="1"/>
    <col min="6919" max="6919" width="11.42578125" style="10"/>
    <col min="6920" max="6920" width="13.140625" style="10" customWidth="1"/>
    <col min="6921" max="7171" width="11.42578125" style="10"/>
    <col min="7172" max="7172" width="13.140625" style="10" customWidth="1"/>
    <col min="7173" max="7173" width="15.140625" style="10" customWidth="1"/>
    <col min="7174" max="7174" width="42" style="10" customWidth="1"/>
    <col min="7175" max="7175" width="11.42578125" style="10"/>
    <col min="7176" max="7176" width="13.140625" style="10" customWidth="1"/>
    <col min="7177" max="7427" width="11.42578125" style="10"/>
    <col min="7428" max="7428" width="13.140625" style="10" customWidth="1"/>
    <col min="7429" max="7429" width="15.140625" style="10" customWidth="1"/>
    <col min="7430" max="7430" width="42" style="10" customWidth="1"/>
    <col min="7431" max="7431" width="11.42578125" style="10"/>
    <col min="7432" max="7432" width="13.140625" style="10" customWidth="1"/>
    <col min="7433" max="7683" width="11.42578125" style="10"/>
    <col min="7684" max="7684" width="13.140625" style="10" customWidth="1"/>
    <col min="7685" max="7685" width="15.140625" style="10" customWidth="1"/>
    <col min="7686" max="7686" width="42" style="10" customWidth="1"/>
    <col min="7687" max="7687" width="11.42578125" style="10"/>
    <col min="7688" max="7688" width="13.140625" style="10" customWidth="1"/>
    <col min="7689" max="7939" width="11.42578125" style="10"/>
    <col min="7940" max="7940" width="13.140625" style="10" customWidth="1"/>
    <col min="7941" max="7941" width="15.140625" style="10" customWidth="1"/>
    <col min="7942" max="7942" width="42" style="10" customWidth="1"/>
    <col min="7943" max="7943" width="11.42578125" style="10"/>
    <col min="7944" max="7944" width="13.140625" style="10" customWidth="1"/>
    <col min="7945" max="8195" width="11.42578125" style="10"/>
    <col min="8196" max="8196" width="13.140625" style="10" customWidth="1"/>
    <col min="8197" max="8197" width="15.140625" style="10" customWidth="1"/>
    <col min="8198" max="8198" width="42" style="10" customWidth="1"/>
    <col min="8199" max="8199" width="11.42578125" style="10"/>
    <col min="8200" max="8200" width="13.140625" style="10" customWidth="1"/>
    <col min="8201" max="8451" width="11.42578125" style="10"/>
    <col min="8452" max="8452" width="13.140625" style="10" customWidth="1"/>
    <col min="8453" max="8453" width="15.140625" style="10" customWidth="1"/>
    <col min="8454" max="8454" width="42" style="10" customWidth="1"/>
    <col min="8455" max="8455" width="11.42578125" style="10"/>
    <col min="8456" max="8456" width="13.140625" style="10" customWidth="1"/>
    <col min="8457" max="8707" width="11.42578125" style="10"/>
    <col min="8708" max="8708" width="13.140625" style="10" customWidth="1"/>
    <col min="8709" max="8709" width="15.140625" style="10" customWidth="1"/>
    <col min="8710" max="8710" width="42" style="10" customWidth="1"/>
    <col min="8711" max="8711" width="11.42578125" style="10"/>
    <col min="8712" max="8712" width="13.140625" style="10" customWidth="1"/>
    <col min="8713" max="8963" width="11.42578125" style="10"/>
    <col min="8964" max="8964" width="13.140625" style="10" customWidth="1"/>
    <col min="8965" max="8965" width="15.140625" style="10" customWidth="1"/>
    <col min="8966" max="8966" width="42" style="10" customWidth="1"/>
    <col min="8967" max="8967" width="11.42578125" style="10"/>
    <col min="8968" max="8968" width="13.140625" style="10" customWidth="1"/>
    <col min="8969" max="9219" width="11.42578125" style="10"/>
    <col min="9220" max="9220" width="13.140625" style="10" customWidth="1"/>
    <col min="9221" max="9221" width="15.140625" style="10" customWidth="1"/>
    <col min="9222" max="9222" width="42" style="10" customWidth="1"/>
    <col min="9223" max="9223" width="11.42578125" style="10"/>
    <col min="9224" max="9224" width="13.140625" style="10" customWidth="1"/>
    <col min="9225" max="9475" width="11.42578125" style="10"/>
    <col min="9476" max="9476" width="13.140625" style="10" customWidth="1"/>
    <col min="9477" max="9477" width="15.140625" style="10" customWidth="1"/>
    <col min="9478" max="9478" width="42" style="10" customWidth="1"/>
    <col min="9479" max="9479" width="11.42578125" style="10"/>
    <col min="9480" max="9480" width="13.140625" style="10" customWidth="1"/>
    <col min="9481" max="9731" width="11.42578125" style="10"/>
    <col min="9732" max="9732" width="13.140625" style="10" customWidth="1"/>
    <col min="9733" max="9733" width="15.140625" style="10" customWidth="1"/>
    <col min="9734" max="9734" width="42" style="10" customWidth="1"/>
    <col min="9735" max="9735" width="11.42578125" style="10"/>
    <col min="9736" max="9736" width="13.140625" style="10" customWidth="1"/>
    <col min="9737" max="9987" width="11.42578125" style="10"/>
    <col min="9988" max="9988" width="13.140625" style="10" customWidth="1"/>
    <col min="9989" max="9989" width="15.140625" style="10" customWidth="1"/>
    <col min="9990" max="9990" width="42" style="10" customWidth="1"/>
    <col min="9991" max="9991" width="11.42578125" style="10"/>
    <col min="9992" max="9992" width="13.140625" style="10" customWidth="1"/>
    <col min="9993" max="10243" width="11.42578125" style="10"/>
    <col min="10244" max="10244" width="13.140625" style="10" customWidth="1"/>
    <col min="10245" max="10245" width="15.140625" style="10" customWidth="1"/>
    <col min="10246" max="10246" width="42" style="10" customWidth="1"/>
    <col min="10247" max="10247" width="11.42578125" style="10"/>
    <col min="10248" max="10248" width="13.140625" style="10" customWidth="1"/>
    <col min="10249" max="10499" width="11.42578125" style="10"/>
    <col min="10500" max="10500" width="13.140625" style="10" customWidth="1"/>
    <col min="10501" max="10501" width="15.140625" style="10" customWidth="1"/>
    <col min="10502" max="10502" width="42" style="10" customWidth="1"/>
    <col min="10503" max="10503" width="11.42578125" style="10"/>
    <col min="10504" max="10504" width="13.140625" style="10" customWidth="1"/>
    <col min="10505" max="10755" width="11.42578125" style="10"/>
    <col min="10756" max="10756" width="13.140625" style="10" customWidth="1"/>
    <col min="10757" max="10757" width="15.140625" style="10" customWidth="1"/>
    <col min="10758" max="10758" width="42" style="10" customWidth="1"/>
    <col min="10759" max="10759" width="11.42578125" style="10"/>
    <col min="10760" max="10760" width="13.140625" style="10" customWidth="1"/>
    <col min="10761" max="11011" width="11.42578125" style="10"/>
    <col min="11012" max="11012" width="13.140625" style="10" customWidth="1"/>
    <col min="11013" max="11013" width="15.140625" style="10" customWidth="1"/>
    <col min="11014" max="11014" width="42" style="10" customWidth="1"/>
    <col min="11015" max="11015" width="11.42578125" style="10"/>
    <col min="11016" max="11016" width="13.140625" style="10" customWidth="1"/>
    <col min="11017" max="11267" width="11.42578125" style="10"/>
    <col min="11268" max="11268" width="13.140625" style="10" customWidth="1"/>
    <col min="11269" max="11269" width="15.140625" style="10" customWidth="1"/>
    <col min="11270" max="11270" width="42" style="10" customWidth="1"/>
    <col min="11271" max="11271" width="11.42578125" style="10"/>
    <col min="11272" max="11272" width="13.140625" style="10" customWidth="1"/>
    <col min="11273" max="11523" width="11.42578125" style="10"/>
    <col min="11524" max="11524" width="13.140625" style="10" customWidth="1"/>
    <col min="11525" max="11525" width="15.140625" style="10" customWidth="1"/>
    <col min="11526" max="11526" width="42" style="10" customWidth="1"/>
    <col min="11527" max="11527" width="11.42578125" style="10"/>
    <col min="11528" max="11528" width="13.140625" style="10" customWidth="1"/>
    <col min="11529" max="11779" width="11.42578125" style="10"/>
    <col min="11780" max="11780" width="13.140625" style="10" customWidth="1"/>
    <col min="11781" max="11781" width="15.140625" style="10" customWidth="1"/>
    <col min="11782" max="11782" width="42" style="10" customWidth="1"/>
    <col min="11783" max="11783" width="11.42578125" style="10"/>
    <col min="11784" max="11784" width="13.140625" style="10" customWidth="1"/>
    <col min="11785" max="12035" width="11.42578125" style="10"/>
    <col min="12036" max="12036" width="13.140625" style="10" customWidth="1"/>
    <col min="12037" max="12037" width="15.140625" style="10" customWidth="1"/>
    <col min="12038" max="12038" width="42" style="10" customWidth="1"/>
    <col min="12039" max="12039" width="11.42578125" style="10"/>
    <col min="12040" max="12040" width="13.140625" style="10" customWidth="1"/>
    <col min="12041" max="12291" width="11.42578125" style="10"/>
    <col min="12292" max="12292" width="13.140625" style="10" customWidth="1"/>
    <col min="12293" max="12293" width="15.140625" style="10" customWidth="1"/>
    <col min="12294" max="12294" width="42" style="10" customWidth="1"/>
    <col min="12295" max="12295" width="11.42578125" style="10"/>
    <col min="12296" max="12296" width="13.140625" style="10" customWidth="1"/>
    <col min="12297" max="12547" width="11.42578125" style="10"/>
    <col min="12548" max="12548" width="13.140625" style="10" customWidth="1"/>
    <col min="12549" max="12549" width="15.140625" style="10" customWidth="1"/>
    <col min="12550" max="12550" width="42" style="10" customWidth="1"/>
    <col min="12551" max="12551" width="11.42578125" style="10"/>
    <col min="12552" max="12552" width="13.140625" style="10" customWidth="1"/>
    <col min="12553" max="12803" width="11.42578125" style="10"/>
    <col min="12804" max="12804" width="13.140625" style="10" customWidth="1"/>
    <col min="12805" max="12805" width="15.140625" style="10" customWidth="1"/>
    <col min="12806" max="12806" width="42" style="10" customWidth="1"/>
    <col min="12807" max="12807" width="11.42578125" style="10"/>
    <col min="12808" max="12808" width="13.140625" style="10" customWidth="1"/>
    <col min="12809" max="13059" width="11.42578125" style="10"/>
    <col min="13060" max="13060" width="13.140625" style="10" customWidth="1"/>
    <col min="13061" max="13061" width="15.140625" style="10" customWidth="1"/>
    <col min="13062" max="13062" width="42" style="10" customWidth="1"/>
    <col min="13063" max="13063" width="11.42578125" style="10"/>
    <col min="13064" max="13064" width="13.140625" style="10" customWidth="1"/>
    <col min="13065" max="13315" width="11.42578125" style="10"/>
    <col min="13316" max="13316" width="13.140625" style="10" customWidth="1"/>
    <col min="13317" max="13317" width="15.140625" style="10" customWidth="1"/>
    <col min="13318" max="13318" width="42" style="10" customWidth="1"/>
    <col min="13319" max="13319" width="11.42578125" style="10"/>
    <col min="13320" max="13320" width="13.140625" style="10" customWidth="1"/>
    <col min="13321" max="13571" width="11.42578125" style="10"/>
    <col min="13572" max="13572" width="13.140625" style="10" customWidth="1"/>
    <col min="13573" max="13573" width="15.140625" style="10" customWidth="1"/>
    <col min="13574" max="13574" width="42" style="10" customWidth="1"/>
    <col min="13575" max="13575" width="11.42578125" style="10"/>
    <col min="13576" max="13576" width="13.140625" style="10" customWidth="1"/>
    <col min="13577" max="13827" width="11.42578125" style="10"/>
    <col min="13828" max="13828" width="13.140625" style="10" customWidth="1"/>
    <col min="13829" max="13829" width="15.140625" style="10" customWidth="1"/>
    <col min="13830" max="13830" width="42" style="10" customWidth="1"/>
    <col min="13831" max="13831" width="11.42578125" style="10"/>
    <col min="13832" max="13832" width="13.140625" style="10" customWidth="1"/>
    <col min="13833" max="14083" width="11.42578125" style="10"/>
    <col min="14084" max="14084" width="13.140625" style="10" customWidth="1"/>
    <col min="14085" max="14085" width="15.140625" style="10" customWidth="1"/>
    <col min="14086" max="14086" width="42" style="10" customWidth="1"/>
    <col min="14087" max="14087" width="11.42578125" style="10"/>
    <col min="14088" max="14088" width="13.140625" style="10" customWidth="1"/>
    <col min="14089" max="14339" width="11.42578125" style="10"/>
    <col min="14340" max="14340" width="13.140625" style="10" customWidth="1"/>
    <col min="14341" max="14341" width="15.140625" style="10" customWidth="1"/>
    <col min="14342" max="14342" width="42" style="10" customWidth="1"/>
    <col min="14343" max="14343" width="11.42578125" style="10"/>
    <col min="14344" max="14344" width="13.140625" style="10" customWidth="1"/>
    <col min="14345" max="14595" width="11.42578125" style="10"/>
    <col min="14596" max="14596" width="13.140625" style="10" customWidth="1"/>
    <col min="14597" max="14597" width="15.140625" style="10" customWidth="1"/>
    <col min="14598" max="14598" width="42" style="10" customWidth="1"/>
    <col min="14599" max="14599" width="11.42578125" style="10"/>
    <col min="14600" max="14600" width="13.140625" style="10" customWidth="1"/>
    <col min="14601" max="14851" width="11.42578125" style="10"/>
    <col min="14852" max="14852" width="13.140625" style="10" customWidth="1"/>
    <col min="14853" max="14853" width="15.140625" style="10" customWidth="1"/>
    <col min="14854" max="14854" width="42" style="10" customWidth="1"/>
    <col min="14855" max="14855" width="11.42578125" style="10"/>
    <col min="14856" max="14856" width="13.140625" style="10" customWidth="1"/>
    <col min="14857" max="15107" width="11.42578125" style="10"/>
    <col min="15108" max="15108" width="13.140625" style="10" customWidth="1"/>
    <col min="15109" max="15109" width="15.140625" style="10" customWidth="1"/>
    <col min="15110" max="15110" width="42" style="10" customWidth="1"/>
    <col min="15111" max="15111" width="11.42578125" style="10"/>
    <col min="15112" max="15112" width="13.140625" style="10" customWidth="1"/>
    <col min="15113" max="15363" width="11.42578125" style="10"/>
    <col min="15364" max="15364" width="13.140625" style="10" customWidth="1"/>
    <col min="15365" max="15365" width="15.140625" style="10" customWidth="1"/>
    <col min="15366" max="15366" width="42" style="10" customWidth="1"/>
    <col min="15367" max="15367" width="11.42578125" style="10"/>
    <col min="15368" max="15368" width="13.140625" style="10" customWidth="1"/>
    <col min="15369" max="15619" width="11.42578125" style="10"/>
    <col min="15620" max="15620" width="13.140625" style="10" customWidth="1"/>
    <col min="15621" max="15621" width="15.140625" style="10" customWidth="1"/>
    <col min="15622" max="15622" width="42" style="10" customWidth="1"/>
    <col min="15623" max="15623" width="11.42578125" style="10"/>
    <col min="15624" max="15624" width="13.140625" style="10" customWidth="1"/>
    <col min="15625" max="15875" width="11.42578125" style="10"/>
    <col min="15876" max="15876" width="13.140625" style="10" customWidth="1"/>
    <col min="15877" max="15877" width="15.140625" style="10" customWidth="1"/>
    <col min="15878" max="15878" width="42" style="10" customWidth="1"/>
    <col min="15879" max="15879" width="11.42578125" style="10"/>
    <col min="15880" max="15880" width="13.140625" style="10" customWidth="1"/>
    <col min="15881" max="16131" width="11.42578125" style="10"/>
    <col min="16132" max="16132" width="13.140625" style="10" customWidth="1"/>
    <col min="16133" max="16133" width="15.140625" style="10" customWidth="1"/>
    <col min="16134" max="16134" width="42" style="10" customWidth="1"/>
    <col min="16135" max="16135" width="11.42578125" style="10"/>
    <col min="16136" max="16136" width="13.140625" style="10" customWidth="1"/>
    <col min="16137" max="16384" width="11.42578125" style="10"/>
  </cols>
  <sheetData>
    <row r="2" spans="1:15" s="6" customFormat="1" ht="20.100000000000001" customHeight="1" x14ac:dyDescent="0.25">
      <c r="A2" s="1"/>
      <c r="B2" s="2"/>
      <c r="C2" s="124" t="s">
        <v>24</v>
      </c>
      <c r="D2" s="122" t="s">
        <v>23</v>
      </c>
      <c r="E2" s="122"/>
      <c r="F2" s="3"/>
      <c r="G2" s="3"/>
      <c r="H2" s="3"/>
      <c r="I2" s="3"/>
      <c r="J2" s="3"/>
      <c r="K2" s="4"/>
      <c r="L2" s="5"/>
    </row>
    <row r="3" spans="1:15" s="6" customFormat="1" ht="20.100000000000001" customHeight="1" x14ac:dyDescent="0.25">
      <c r="A3" s="7"/>
      <c r="B3" s="8"/>
      <c r="C3" s="124"/>
      <c r="D3" s="9" t="s">
        <v>26</v>
      </c>
      <c r="E3" s="9"/>
      <c r="F3" s="3"/>
      <c r="G3" s="10"/>
      <c r="H3" s="10"/>
      <c r="I3" s="10"/>
      <c r="J3" s="10"/>
      <c r="K3" s="10"/>
      <c r="L3" s="5"/>
    </row>
    <row r="4" spans="1:15" s="6" customFormat="1" ht="29.25" customHeight="1" x14ac:dyDescent="0.25">
      <c r="A4" s="7"/>
      <c r="B4" s="8"/>
      <c r="C4" s="123" t="s">
        <v>25</v>
      </c>
      <c r="D4" s="9" t="s">
        <v>30</v>
      </c>
      <c r="E4" s="11">
        <v>44979</v>
      </c>
      <c r="F4" s="3"/>
      <c r="G4" s="10"/>
      <c r="H4" s="10"/>
      <c r="I4" s="12">
        <v>81</v>
      </c>
      <c r="J4" s="10"/>
      <c r="K4" s="10"/>
      <c r="L4" s="5"/>
    </row>
    <row r="5" spans="1:15" s="6" customFormat="1" ht="27.75" customHeight="1" x14ac:dyDescent="0.35">
      <c r="A5" s="13"/>
      <c r="B5" s="14"/>
      <c r="C5" s="123"/>
      <c r="D5" s="9" t="s">
        <v>31</v>
      </c>
      <c r="E5" s="11">
        <v>46075</v>
      </c>
      <c r="F5" s="15"/>
      <c r="G5" s="10"/>
      <c r="H5" s="10"/>
      <c r="I5" s="10"/>
      <c r="J5" s="10"/>
      <c r="K5" s="10"/>
      <c r="L5" s="15"/>
      <c r="M5" s="121"/>
      <c r="N5" s="121"/>
      <c r="O5" s="10"/>
    </row>
    <row r="6" spans="1:15" ht="20.100000000000001" customHeight="1" x14ac:dyDescent="0.25">
      <c r="A6" s="17"/>
      <c r="B6" s="17"/>
      <c r="C6" s="17"/>
      <c r="D6" s="17"/>
      <c r="E6" s="17"/>
      <c r="M6" s="121"/>
      <c r="N6" s="121"/>
    </row>
    <row r="7" spans="1:15" ht="20.100000000000001" customHeight="1" x14ac:dyDescent="0.2">
      <c r="A7" s="18" t="s">
        <v>0</v>
      </c>
      <c r="B7" s="18"/>
      <c r="C7" s="24">
        <v>45099</v>
      </c>
      <c r="D7" s="18" t="s">
        <v>1</v>
      </c>
      <c r="E7" s="19">
        <v>20230600810</v>
      </c>
      <c r="M7" s="16"/>
      <c r="N7" s="16"/>
    </row>
    <row r="8" spans="1:15" ht="9.75" customHeight="1" x14ac:dyDescent="0.25">
      <c r="A8" s="20"/>
      <c r="B8" s="20"/>
      <c r="C8" s="20"/>
      <c r="D8" s="20"/>
      <c r="E8" s="20"/>
      <c r="M8" s="16"/>
      <c r="N8" s="16"/>
    </row>
    <row r="9" spans="1:15" ht="20.100000000000001" customHeight="1" x14ac:dyDescent="0.2">
      <c r="A9" s="18" t="s">
        <v>2</v>
      </c>
      <c r="B9" s="18"/>
      <c r="C9" s="69" t="s">
        <v>59</v>
      </c>
      <c r="D9" s="21" t="s">
        <v>3</v>
      </c>
      <c r="E9" s="70">
        <v>20230200079</v>
      </c>
      <c r="M9" s="16"/>
      <c r="N9" s="16"/>
    </row>
    <row r="10" spans="1:15" ht="9" customHeight="1" x14ac:dyDescent="0.25">
      <c r="A10" s="20"/>
      <c r="B10" s="20"/>
      <c r="C10" s="67"/>
      <c r="D10" s="20"/>
      <c r="E10" s="20"/>
      <c r="M10" s="16"/>
      <c r="N10" s="16"/>
    </row>
    <row r="11" spans="1:15" ht="20.100000000000001" customHeight="1" x14ac:dyDescent="0.2">
      <c r="A11" s="119" t="s">
        <v>21</v>
      </c>
      <c r="B11" s="120"/>
      <c r="C11" s="69" t="s">
        <v>59</v>
      </c>
      <c r="D11" s="21" t="s">
        <v>22</v>
      </c>
      <c r="E11" s="23" t="s">
        <v>28</v>
      </c>
      <c r="M11" s="16"/>
      <c r="N11" s="16"/>
    </row>
    <row r="12" spans="1:15" ht="9.75" customHeight="1" x14ac:dyDescent="0.25">
      <c r="A12" s="20"/>
      <c r="B12" s="20"/>
      <c r="C12" s="67"/>
      <c r="D12" s="20"/>
      <c r="E12" s="20"/>
      <c r="M12" s="16"/>
      <c r="N12" s="16"/>
    </row>
    <row r="13" spans="1:15" ht="20.100000000000001" customHeight="1" x14ac:dyDescent="0.25">
      <c r="A13" s="18" t="s">
        <v>4</v>
      </c>
      <c r="B13" s="18"/>
      <c r="C13" s="68" t="s">
        <v>60</v>
      </c>
      <c r="D13" s="21" t="s">
        <v>5</v>
      </c>
      <c r="E13" s="22" t="s">
        <v>27</v>
      </c>
      <c r="I13" s="96"/>
      <c r="M13" s="16"/>
      <c r="N13" s="16"/>
    </row>
    <row r="14" spans="1:15" ht="11.25" customHeight="1" x14ac:dyDescent="0.25">
      <c r="A14" s="20"/>
      <c r="B14" s="20"/>
      <c r="C14" s="20"/>
      <c r="D14" s="20"/>
      <c r="E14" s="20"/>
      <c r="M14" s="16"/>
      <c r="N14" s="16"/>
    </row>
    <row r="15" spans="1:15" ht="20.100000000000001" customHeight="1" x14ac:dyDescent="0.2">
      <c r="A15" s="18" t="s">
        <v>6</v>
      </c>
      <c r="B15" s="18"/>
      <c r="C15" s="24">
        <v>45100</v>
      </c>
      <c r="D15" s="21" t="s">
        <v>7</v>
      </c>
      <c r="E15" s="25" t="s">
        <v>582</v>
      </c>
      <c r="M15" s="16"/>
      <c r="N15" s="16"/>
    </row>
    <row r="16" spans="1:15" ht="9" customHeight="1" x14ac:dyDescent="0.25">
      <c r="A16" s="20"/>
      <c r="B16" s="20"/>
      <c r="C16" s="20"/>
      <c r="D16" s="20"/>
      <c r="E16" s="20"/>
      <c r="M16" s="16"/>
      <c r="N16" s="16"/>
    </row>
    <row r="17" spans="1:14" ht="20.100000000000001" customHeight="1" x14ac:dyDescent="0.2">
      <c r="A17" s="18" t="s">
        <v>8</v>
      </c>
      <c r="B17" s="18"/>
      <c r="C17" s="22" t="s">
        <v>61</v>
      </c>
      <c r="D17" s="26"/>
      <c r="E17" s="27"/>
      <c r="M17" s="16"/>
      <c r="N17" s="16"/>
    </row>
    <row r="18" spans="1:14" ht="11.25" customHeight="1" x14ac:dyDescent="0.25">
      <c r="A18" s="20"/>
      <c r="B18" s="20"/>
      <c r="C18" s="20"/>
      <c r="D18" s="20"/>
      <c r="E18" s="20"/>
      <c r="M18" s="16"/>
      <c r="N18" s="16"/>
    </row>
    <row r="19" spans="1:14" ht="20.100000000000001" customHeight="1" x14ac:dyDescent="0.2">
      <c r="A19" s="18" t="s">
        <v>9</v>
      </c>
      <c r="B19" s="18"/>
      <c r="C19" s="22"/>
      <c r="D19" s="21" t="s">
        <v>19</v>
      </c>
      <c r="E19" s="25"/>
      <c r="M19" s="16"/>
      <c r="N19" s="16"/>
    </row>
    <row r="20" spans="1:14" ht="12" customHeight="1" x14ac:dyDescent="0.25">
      <c r="A20" s="20"/>
      <c r="B20" s="20"/>
      <c r="C20" s="20"/>
      <c r="D20" s="20"/>
      <c r="E20" s="20"/>
      <c r="M20" s="16"/>
      <c r="N20" s="16"/>
    </row>
    <row r="21" spans="1:14" ht="20.100000000000001" customHeight="1" x14ac:dyDescent="0.2">
      <c r="A21" s="18" t="s">
        <v>20</v>
      </c>
      <c r="B21" s="18"/>
      <c r="C21" s="28"/>
      <c r="D21" s="29"/>
      <c r="E21" s="30"/>
      <c r="M21" s="16"/>
      <c r="N21" s="16"/>
    </row>
    <row r="22" spans="1:14" ht="11.25" customHeight="1" x14ac:dyDescent="0.2">
      <c r="A22" s="31"/>
      <c r="B22" s="32"/>
      <c r="C22" s="31"/>
      <c r="D22" s="31"/>
      <c r="E22" s="31"/>
      <c r="G22" s="33"/>
      <c r="H22" s="33"/>
    </row>
    <row r="23" spans="1:14" ht="35.25" customHeight="1" x14ac:dyDescent="0.25">
      <c r="A23" s="37" t="s">
        <v>10</v>
      </c>
      <c r="B23" s="38" t="s">
        <v>11</v>
      </c>
      <c r="C23" s="38" t="s">
        <v>12</v>
      </c>
      <c r="D23" s="38" t="s">
        <v>13</v>
      </c>
      <c r="E23" s="38" t="s">
        <v>14</v>
      </c>
      <c r="F23" s="39" t="s">
        <v>32</v>
      </c>
      <c r="G23" s="40" t="s">
        <v>33</v>
      </c>
    </row>
    <row r="24" spans="1:14" ht="20.100000000000001" customHeight="1" x14ac:dyDescent="0.25">
      <c r="A24" s="125" t="s">
        <v>319</v>
      </c>
      <c r="B24" s="126" t="s">
        <v>320</v>
      </c>
      <c r="C24" s="72" t="s">
        <v>321</v>
      </c>
      <c r="D24" s="73">
        <v>1</v>
      </c>
      <c r="E24" s="113"/>
      <c r="F24" s="42">
        <v>10</v>
      </c>
      <c r="G24" s="42">
        <v>10</v>
      </c>
    </row>
    <row r="25" spans="1:14" ht="20.100000000000001" customHeight="1" x14ac:dyDescent="0.25">
      <c r="A25" s="125" t="s">
        <v>322</v>
      </c>
      <c r="B25" s="126" t="s">
        <v>323</v>
      </c>
      <c r="C25" s="72" t="s">
        <v>324</v>
      </c>
      <c r="D25" s="73">
        <v>1</v>
      </c>
      <c r="E25" s="113"/>
      <c r="F25" s="42">
        <v>10</v>
      </c>
      <c r="G25" s="42">
        <v>10</v>
      </c>
    </row>
    <row r="26" spans="1:14" ht="20.100000000000001" customHeight="1" x14ac:dyDescent="0.25">
      <c r="A26" s="72" t="s">
        <v>325</v>
      </c>
      <c r="B26" s="72" t="s">
        <v>326</v>
      </c>
      <c r="C26" s="72" t="s">
        <v>327</v>
      </c>
      <c r="D26" s="73">
        <v>1</v>
      </c>
      <c r="E26" s="113"/>
      <c r="F26" s="42">
        <v>10</v>
      </c>
      <c r="G26" s="42">
        <v>20</v>
      </c>
    </row>
    <row r="27" spans="1:14" ht="20.100000000000001" customHeight="1" x14ac:dyDescent="0.25">
      <c r="A27" s="72" t="s">
        <v>325</v>
      </c>
      <c r="B27" s="72" t="s">
        <v>326</v>
      </c>
      <c r="C27" s="72" t="s">
        <v>327</v>
      </c>
      <c r="D27" s="73">
        <v>1</v>
      </c>
      <c r="E27" s="113"/>
      <c r="F27" s="42">
        <v>10</v>
      </c>
      <c r="G27" s="42">
        <v>10</v>
      </c>
    </row>
    <row r="28" spans="1:14" ht="20.100000000000001" customHeight="1" x14ac:dyDescent="0.25">
      <c r="A28" s="75" t="s">
        <v>328</v>
      </c>
      <c r="B28" s="75" t="s">
        <v>329</v>
      </c>
      <c r="C28" s="75" t="s">
        <v>330</v>
      </c>
      <c r="D28" s="73">
        <v>1</v>
      </c>
      <c r="E28" s="113"/>
      <c r="F28" s="42">
        <v>10</v>
      </c>
      <c r="G28" s="42">
        <v>50</v>
      </c>
    </row>
    <row r="29" spans="1:14" ht="20.100000000000001" customHeight="1" x14ac:dyDescent="0.25">
      <c r="A29" s="72" t="s">
        <v>331</v>
      </c>
      <c r="B29" s="72" t="s">
        <v>332</v>
      </c>
      <c r="C29" s="72" t="s">
        <v>333</v>
      </c>
      <c r="D29" s="73">
        <v>1</v>
      </c>
      <c r="E29" s="113"/>
      <c r="F29" s="42">
        <v>10</v>
      </c>
      <c r="G29" s="42">
        <v>10</v>
      </c>
    </row>
    <row r="30" spans="1:14" ht="20.100000000000001" customHeight="1" x14ac:dyDescent="0.25">
      <c r="A30" s="75" t="s">
        <v>334</v>
      </c>
      <c r="B30" s="75" t="s">
        <v>335</v>
      </c>
      <c r="C30" s="75" t="s">
        <v>336</v>
      </c>
      <c r="D30" s="73">
        <v>1</v>
      </c>
      <c r="E30" s="113"/>
      <c r="F30" s="42">
        <v>10</v>
      </c>
      <c r="G30" s="42">
        <v>10</v>
      </c>
    </row>
    <row r="31" spans="1:14" ht="20.100000000000001" customHeight="1" x14ac:dyDescent="0.25">
      <c r="A31" s="72" t="s">
        <v>337</v>
      </c>
      <c r="B31" s="72" t="s">
        <v>338</v>
      </c>
      <c r="C31" s="72" t="s">
        <v>339</v>
      </c>
      <c r="D31" s="73">
        <v>1</v>
      </c>
      <c r="E31" s="113"/>
      <c r="F31" s="42">
        <v>10</v>
      </c>
      <c r="G31" s="42">
        <v>20</v>
      </c>
    </row>
    <row r="32" spans="1:14" ht="20.100000000000001" customHeight="1" x14ac:dyDescent="0.25">
      <c r="A32" s="72" t="s">
        <v>583</v>
      </c>
      <c r="B32" s="126" t="s">
        <v>584</v>
      </c>
      <c r="C32" s="75" t="s">
        <v>321</v>
      </c>
      <c r="D32" s="73">
        <v>1</v>
      </c>
      <c r="E32" s="113"/>
      <c r="F32" s="42">
        <v>10</v>
      </c>
      <c r="G32" s="42">
        <v>10</v>
      </c>
    </row>
    <row r="33" spans="1:7" ht="20.100000000000001" customHeight="1" x14ac:dyDescent="0.25">
      <c r="A33" s="75" t="s">
        <v>340</v>
      </c>
      <c r="B33" s="75" t="s">
        <v>341</v>
      </c>
      <c r="C33" s="75" t="s">
        <v>585</v>
      </c>
      <c r="D33" s="73">
        <v>1</v>
      </c>
      <c r="E33" s="113"/>
      <c r="F33" s="42">
        <v>10</v>
      </c>
      <c r="G33" s="42">
        <v>50</v>
      </c>
    </row>
    <row r="34" spans="1:7" ht="20.100000000000001" customHeight="1" x14ac:dyDescent="0.25">
      <c r="A34" s="72" t="s">
        <v>342</v>
      </c>
      <c r="B34" s="72" t="s">
        <v>343</v>
      </c>
      <c r="C34" s="72" t="s">
        <v>586</v>
      </c>
      <c r="D34" s="73">
        <v>1</v>
      </c>
      <c r="E34" s="113"/>
      <c r="F34" s="42">
        <v>10</v>
      </c>
      <c r="G34" s="42">
        <v>20</v>
      </c>
    </row>
    <row r="35" spans="1:7" ht="20.100000000000001" customHeight="1" x14ac:dyDescent="0.25">
      <c r="A35" s="75" t="s">
        <v>344</v>
      </c>
      <c r="B35" s="75" t="s">
        <v>345</v>
      </c>
      <c r="C35" s="75" t="s">
        <v>346</v>
      </c>
      <c r="D35" s="73">
        <v>1</v>
      </c>
      <c r="E35" s="113"/>
      <c r="F35" s="42">
        <v>10</v>
      </c>
      <c r="G35" s="42">
        <v>20</v>
      </c>
    </row>
    <row r="36" spans="1:7" ht="20.100000000000001" customHeight="1" x14ac:dyDescent="0.25">
      <c r="A36" s="72" t="s">
        <v>347</v>
      </c>
      <c r="B36" s="72" t="s">
        <v>348</v>
      </c>
      <c r="C36" s="72" t="s">
        <v>349</v>
      </c>
      <c r="D36" s="73">
        <v>1</v>
      </c>
      <c r="E36" s="113"/>
      <c r="F36" s="42">
        <v>10</v>
      </c>
      <c r="G36" s="42">
        <v>20</v>
      </c>
    </row>
    <row r="37" spans="1:7" ht="20.100000000000001" customHeight="1" x14ac:dyDescent="0.25">
      <c r="A37" s="75" t="s">
        <v>350</v>
      </c>
      <c r="B37" s="75" t="s">
        <v>351</v>
      </c>
      <c r="C37" s="75" t="s">
        <v>352</v>
      </c>
      <c r="D37" s="73">
        <v>1</v>
      </c>
      <c r="E37" s="113"/>
      <c r="F37" s="42">
        <v>10</v>
      </c>
      <c r="G37" s="42">
        <v>20</v>
      </c>
    </row>
    <row r="38" spans="1:7" ht="20.100000000000001" customHeight="1" x14ac:dyDescent="0.25">
      <c r="A38" s="72" t="s">
        <v>353</v>
      </c>
      <c r="B38" s="72" t="s">
        <v>351</v>
      </c>
      <c r="C38" s="72" t="s">
        <v>354</v>
      </c>
      <c r="D38" s="73">
        <v>1</v>
      </c>
      <c r="E38" s="113"/>
      <c r="F38" s="42">
        <v>10</v>
      </c>
      <c r="G38" s="42">
        <v>10</v>
      </c>
    </row>
    <row r="39" spans="1:7" ht="20.100000000000001" customHeight="1" x14ac:dyDescent="0.25">
      <c r="A39" s="72"/>
      <c r="B39" s="127"/>
      <c r="C39" s="72"/>
      <c r="D39" s="76">
        <f>SUM(D24:D38)</f>
        <v>15</v>
      </c>
      <c r="E39" s="113"/>
      <c r="F39" s="42">
        <v>10</v>
      </c>
      <c r="G39" s="42">
        <v>10</v>
      </c>
    </row>
    <row r="40" spans="1:7" ht="20.100000000000001" customHeight="1" x14ac:dyDescent="0.25">
      <c r="A40" s="125" t="s">
        <v>355</v>
      </c>
      <c r="B40" s="126" t="s">
        <v>356</v>
      </c>
      <c r="C40" s="75" t="s">
        <v>357</v>
      </c>
      <c r="D40" s="73">
        <v>1</v>
      </c>
      <c r="E40" s="113"/>
      <c r="F40" s="42">
        <v>10</v>
      </c>
      <c r="G40" s="42">
        <v>100</v>
      </c>
    </row>
    <row r="41" spans="1:7" ht="20.100000000000001" customHeight="1" x14ac:dyDescent="0.25">
      <c r="A41" s="75" t="s">
        <v>358</v>
      </c>
      <c r="B41" s="75" t="s">
        <v>359</v>
      </c>
      <c r="C41" s="75" t="s">
        <v>360</v>
      </c>
      <c r="D41" s="73">
        <v>1</v>
      </c>
      <c r="E41" s="113"/>
      <c r="F41" s="42">
        <v>10</v>
      </c>
      <c r="G41" s="42">
        <v>20</v>
      </c>
    </row>
    <row r="42" spans="1:7" ht="20.100000000000001" customHeight="1" x14ac:dyDescent="0.25">
      <c r="A42" s="72" t="s">
        <v>361</v>
      </c>
      <c r="B42" s="72" t="s">
        <v>362</v>
      </c>
      <c r="C42" s="72" t="s">
        <v>363</v>
      </c>
      <c r="D42" s="73">
        <v>1</v>
      </c>
      <c r="E42" s="113"/>
      <c r="F42" s="42">
        <v>10</v>
      </c>
      <c r="G42" s="42">
        <v>10</v>
      </c>
    </row>
    <row r="43" spans="1:7" ht="20.100000000000001" customHeight="1" x14ac:dyDescent="0.25">
      <c r="A43" s="75" t="s">
        <v>364</v>
      </c>
      <c r="B43" s="75" t="s">
        <v>365</v>
      </c>
      <c r="C43" s="75" t="s">
        <v>366</v>
      </c>
      <c r="D43" s="73">
        <v>1</v>
      </c>
      <c r="E43" s="113"/>
      <c r="F43" s="42">
        <v>10</v>
      </c>
      <c r="G43" s="42">
        <v>20</v>
      </c>
    </row>
    <row r="44" spans="1:7" ht="20.100000000000001" customHeight="1" x14ac:dyDescent="0.25">
      <c r="A44" s="72" t="s">
        <v>367</v>
      </c>
      <c r="B44" s="72" t="s">
        <v>587</v>
      </c>
      <c r="C44" s="72" t="s">
        <v>369</v>
      </c>
      <c r="D44" s="73">
        <v>1</v>
      </c>
      <c r="E44" s="113"/>
      <c r="F44" s="42">
        <v>10</v>
      </c>
      <c r="G44" s="42">
        <v>20</v>
      </c>
    </row>
    <row r="45" spans="1:7" ht="20.100000000000001" customHeight="1" x14ac:dyDescent="0.25">
      <c r="A45" s="75" t="s">
        <v>370</v>
      </c>
      <c r="B45" s="75" t="s">
        <v>368</v>
      </c>
      <c r="C45" s="75" t="s">
        <v>371</v>
      </c>
      <c r="D45" s="73">
        <v>1</v>
      </c>
      <c r="E45" s="113"/>
      <c r="F45" s="42">
        <v>10</v>
      </c>
      <c r="G45" s="42">
        <v>10</v>
      </c>
    </row>
    <row r="46" spans="1:7" ht="20.100000000000001" customHeight="1" x14ac:dyDescent="0.25">
      <c r="A46" s="72" t="s">
        <v>372</v>
      </c>
      <c r="B46" s="72" t="s">
        <v>368</v>
      </c>
      <c r="C46" s="72" t="s">
        <v>373</v>
      </c>
      <c r="D46" s="73">
        <v>1</v>
      </c>
      <c r="E46" s="113"/>
      <c r="F46" s="42">
        <v>10</v>
      </c>
      <c r="G46" s="42">
        <v>10</v>
      </c>
    </row>
    <row r="47" spans="1:7" ht="20.100000000000001" customHeight="1" x14ac:dyDescent="0.25">
      <c r="A47" s="75" t="s">
        <v>374</v>
      </c>
      <c r="B47" s="75" t="s">
        <v>375</v>
      </c>
      <c r="C47" s="75" t="s">
        <v>376</v>
      </c>
      <c r="D47" s="73">
        <v>1</v>
      </c>
      <c r="E47" s="113"/>
      <c r="F47" s="42">
        <v>10</v>
      </c>
      <c r="G47" s="42">
        <v>90</v>
      </c>
    </row>
    <row r="48" spans="1:7" ht="20.100000000000001" customHeight="1" x14ac:dyDescent="0.25">
      <c r="A48" s="125" t="s">
        <v>377</v>
      </c>
      <c r="B48" s="126" t="s">
        <v>378</v>
      </c>
      <c r="C48" s="75" t="s">
        <v>379</v>
      </c>
      <c r="D48" s="73">
        <v>1</v>
      </c>
      <c r="E48" s="113"/>
      <c r="F48" s="42"/>
      <c r="G48" s="42"/>
    </row>
    <row r="49" spans="1:7" ht="20.100000000000001" customHeight="1" x14ac:dyDescent="0.25">
      <c r="A49" s="75" t="s">
        <v>380</v>
      </c>
      <c r="B49" s="75" t="s">
        <v>381</v>
      </c>
      <c r="C49" s="75" t="s">
        <v>588</v>
      </c>
      <c r="D49" s="73">
        <v>1</v>
      </c>
      <c r="E49" s="113"/>
      <c r="F49" s="42">
        <v>10</v>
      </c>
      <c r="G49" s="42">
        <v>10</v>
      </c>
    </row>
    <row r="50" spans="1:7" ht="20.100000000000001" customHeight="1" x14ac:dyDescent="0.25">
      <c r="A50" s="72" t="s">
        <v>382</v>
      </c>
      <c r="B50" s="72" t="s">
        <v>383</v>
      </c>
      <c r="C50" s="72" t="s">
        <v>589</v>
      </c>
      <c r="D50" s="73">
        <v>1</v>
      </c>
      <c r="E50" s="113"/>
      <c r="F50" s="42">
        <v>10</v>
      </c>
      <c r="G50" s="42">
        <v>10</v>
      </c>
    </row>
    <row r="51" spans="1:7" ht="20.100000000000001" customHeight="1" x14ac:dyDescent="0.25">
      <c r="A51" s="75" t="s">
        <v>384</v>
      </c>
      <c r="B51" s="75" t="s">
        <v>385</v>
      </c>
      <c r="C51" s="75" t="s">
        <v>590</v>
      </c>
      <c r="D51" s="73">
        <v>1</v>
      </c>
      <c r="E51" s="113"/>
      <c r="F51" s="42">
        <v>10</v>
      </c>
      <c r="G51" s="42">
        <v>10</v>
      </c>
    </row>
    <row r="52" spans="1:7" ht="20.100000000000001" customHeight="1" x14ac:dyDescent="0.25">
      <c r="A52" s="72" t="s">
        <v>386</v>
      </c>
      <c r="B52" s="72" t="s">
        <v>387</v>
      </c>
      <c r="C52" s="72" t="s">
        <v>591</v>
      </c>
      <c r="D52" s="73">
        <v>1</v>
      </c>
      <c r="E52" s="113"/>
      <c r="F52" s="42">
        <v>10</v>
      </c>
      <c r="G52" s="42">
        <v>0</v>
      </c>
    </row>
    <row r="53" spans="1:7" ht="20.100000000000001" customHeight="1" x14ac:dyDescent="0.25">
      <c r="A53" s="75" t="s">
        <v>388</v>
      </c>
      <c r="B53" s="75" t="s">
        <v>389</v>
      </c>
      <c r="C53" s="75" t="s">
        <v>592</v>
      </c>
      <c r="D53" s="73">
        <v>1</v>
      </c>
      <c r="E53" s="113"/>
      <c r="F53" s="42">
        <v>10</v>
      </c>
      <c r="G53" s="42">
        <v>10</v>
      </c>
    </row>
    <row r="54" spans="1:7" ht="20.100000000000001" customHeight="1" x14ac:dyDescent="0.25">
      <c r="A54" s="72" t="s">
        <v>390</v>
      </c>
      <c r="B54" s="72" t="s">
        <v>391</v>
      </c>
      <c r="C54" s="72" t="s">
        <v>593</v>
      </c>
      <c r="D54" s="73">
        <v>1</v>
      </c>
      <c r="E54" s="113"/>
      <c r="F54" s="42">
        <v>10</v>
      </c>
      <c r="G54" s="42">
        <v>10</v>
      </c>
    </row>
    <row r="55" spans="1:7" ht="20.100000000000001" customHeight="1" x14ac:dyDescent="0.25">
      <c r="A55" s="72"/>
      <c r="B55" s="127"/>
      <c r="C55" s="72"/>
      <c r="D55" s="76">
        <f>SUM(D40:D54)</f>
        <v>15</v>
      </c>
      <c r="E55" s="113"/>
      <c r="F55" s="42">
        <v>10</v>
      </c>
      <c r="G55" s="42">
        <v>10</v>
      </c>
    </row>
    <row r="56" spans="1:7" ht="20.100000000000001" customHeight="1" x14ac:dyDescent="0.25">
      <c r="A56" s="125" t="s">
        <v>392</v>
      </c>
      <c r="B56" s="126" t="s">
        <v>393</v>
      </c>
      <c r="C56" s="72" t="s">
        <v>394</v>
      </c>
      <c r="D56" s="73">
        <v>1</v>
      </c>
      <c r="E56" s="113"/>
      <c r="F56" s="42">
        <v>10</v>
      </c>
      <c r="G56" s="42">
        <v>70</v>
      </c>
    </row>
    <row r="57" spans="1:7" ht="20.100000000000001" customHeight="1" x14ac:dyDescent="0.25">
      <c r="A57" s="72" t="s">
        <v>395</v>
      </c>
      <c r="B57" s="72" t="s">
        <v>396</v>
      </c>
      <c r="C57" s="72" t="s">
        <v>397</v>
      </c>
      <c r="D57" s="73">
        <v>1</v>
      </c>
      <c r="E57" s="113"/>
      <c r="F57" s="42">
        <v>10</v>
      </c>
      <c r="G57" s="42">
        <v>10</v>
      </c>
    </row>
    <row r="58" spans="1:7" ht="20.100000000000001" customHeight="1" x14ac:dyDescent="0.25">
      <c r="A58" s="75" t="s">
        <v>398</v>
      </c>
      <c r="B58" s="75" t="s">
        <v>399</v>
      </c>
      <c r="C58" s="75" t="s">
        <v>400</v>
      </c>
      <c r="D58" s="73">
        <v>1</v>
      </c>
      <c r="E58" s="113"/>
      <c r="F58" s="42">
        <v>10</v>
      </c>
      <c r="G58" s="42">
        <v>10</v>
      </c>
    </row>
    <row r="59" spans="1:7" ht="20.100000000000001" customHeight="1" x14ac:dyDescent="0.25">
      <c r="A59" s="72" t="s">
        <v>401</v>
      </c>
      <c r="B59" s="72" t="s">
        <v>594</v>
      </c>
      <c r="C59" s="72" t="s">
        <v>402</v>
      </c>
      <c r="D59" s="73">
        <v>1</v>
      </c>
      <c r="E59" s="113"/>
      <c r="F59" s="42">
        <v>10</v>
      </c>
      <c r="G59" s="42">
        <v>10</v>
      </c>
    </row>
    <row r="60" spans="1:7" ht="20.100000000000001" customHeight="1" x14ac:dyDescent="0.25">
      <c r="A60" s="75" t="s">
        <v>403</v>
      </c>
      <c r="B60" s="75" t="s">
        <v>404</v>
      </c>
      <c r="C60" s="75" t="s">
        <v>405</v>
      </c>
      <c r="D60" s="73">
        <v>1</v>
      </c>
      <c r="E60" s="113"/>
      <c r="F60" s="42">
        <v>10</v>
      </c>
      <c r="G60" s="42">
        <v>10</v>
      </c>
    </row>
    <row r="61" spans="1:7" ht="20.100000000000001" customHeight="1" x14ac:dyDescent="0.25">
      <c r="A61" s="72" t="s">
        <v>406</v>
      </c>
      <c r="B61" s="72" t="s">
        <v>407</v>
      </c>
      <c r="C61" s="72" t="s">
        <v>408</v>
      </c>
      <c r="D61" s="73">
        <v>1</v>
      </c>
      <c r="E61" s="113"/>
      <c r="F61" s="42">
        <v>10</v>
      </c>
      <c r="G61" s="42">
        <v>10</v>
      </c>
    </row>
    <row r="62" spans="1:7" ht="20.100000000000001" customHeight="1" x14ac:dyDescent="0.25">
      <c r="A62" s="72" t="s">
        <v>409</v>
      </c>
      <c r="B62" s="127" t="s">
        <v>410</v>
      </c>
      <c r="C62" s="72" t="s">
        <v>411</v>
      </c>
      <c r="D62" s="73">
        <v>1</v>
      </c>
      <c r="E62" s="113"/>
      <c r="F62" s="42">
        <v>10</v>
      </c>
      <c r="G62" s="42">
        <v>10</v>
      </c>
    </row>
    <row r="63" spans="1:7" ht="20.100000000000001" customHeight="1" x14ac:dyDescent="0.25">
      <c r="A63" s="125" t="s">
        <v>412</v>
      </c>
      <c r="B63" s="126" t="s">
        <v>413</v>
      </c>
      <c r="C63" s="75" t="s">
        <v>595</v>
      </c>
      <c r="D63" s="73">
        <v>1</v>
      </c>
      <c r="E63" s="113"/>
      <c r="F63" s="42">
        <v>10</v>
      </c>
      <c r="G63" s="42">
        <v>60</v>
      </c>
    </row>
    <row r="64" spans="1:7" ht="20.100000000000001" customHeight="1" x14ac:dyDescent="0.25">
      <c r="A64" s="75" t="s">
        <v>414</v>
      </c>
      <c r="B64" s="75" t="s">
        <v>415</v>
      </c>
      <c r="C64" s="75" t="s">
        <v>596</v>
      </c>
      <c r="D64" s="73">
        <v>1</v>
      </c>
      <c r="E64" s="113"/>
      <c r="F64" s="42">
        <v>10</v>
      </c>
      <c r="G64" s="42">
        <v>10</v>
      </c>
    </row>
    <row r="65" spans="1:7" ht="20.100000000000001" customHeight="1" x14ac:dyDescent="0.25">
      <c r="A65" s="72" t="s">
        <v>416</v>
      </c>
      <c r="B65" s="72" t="s">
        <v>417</v>
      </c>
      <c r="C65" s="72" t="s">
        <v>597</v>
      </c>
      <c r="D65" s="73">
        <v>1</v>
      </c>
      <c r="E65" s="113"/>
      <c r="F65" s="42">
        <v>10</v>
      </c>
      <c r="G65" s="42">
        <v>10</v>
      </c>
    </row>
    <row r="66" spans="1:7" ht="20.100000000000001" customHeight="1" x14ac:dyDescent="0.25">
      <c r="A66" s="75" t="s">
        <v>418</v>
      </c>
      <c r="B66" s="75" t="s">
        <v>419</v>
      </c>
      <c r="C66" s="75" t="s">
        <v>598</v>
      </c>
      <c r="D66" s="73">
        <v>1</v>
      </c>
      <c r="E66" s="113"/>
      <c r="F66" s="42">
        <v>10</v>
      </c>
      <c r="G66" s="42">
        <v>10</v>
      </c>
    </row>
    <row r="67" spans="1:7" ht="20.100000000000001" customHeight="1" x14ac:dyDescent="0.25">
      <c r="A67" s="72" t="s">
        <v>420</v>
      </c>
      <c r="B67" s="72" t="s">
        <v>421</v>
      </c>
      <c r="C67" s="72" t="s">
        <v>599</v>
      </c>
      <c r="D67" s="73">
        <v>1</v>
      </c>
      <c r="E67" s="113"/>
      <c r="F67" s="42">
        <v>10</v>
      </c>
      <c r="G67" s="42">
        <v>10</v>
      </c>
    </row>
    <row r="68" spans="1:7" ht="20.100000000000001" customHeight="1" x14ac:dyDescent="0.25">
      <c r="A68" s="75" t="s">
        <v>422</v>
      </c>
      <c r="B68" s="75" t="s">
        <v>423</v>
      </c>
      <c r="C68" s="75" t="s">
        <v>600</v>
      </c>
      <c r="D68" s="73">
        <v>1</v>
      </c>
      <c r="E68" s="113"/>
      <c r="F68" s="42">
        <v>10</v>
      </c>
      <c r="G68" s="42">
        <v>40</v>
      </c>
    </row>
    <row r="69" spans="1:7" ht="20.100000000000001" customHeight="1" x14ac:dyDescent="0.25">
      <c r="A69" s="72" t="s">
        <v>424</v>
      </c>
      <c r="B69" s="72" t="s">
        <v>425</v>
      </c>
      <c r="C69" s="72" t="s">
        <v>601</v>
      </c>
      <c r="D69" s="73">
        <v>1</v>
      </c>
      <c r="E69" s="113"/>
      <c r="F69" s="42">
        <v>10</v>
      </c>
      <c r="G69" s="42">
        <v>0</v>
      </c>
    </row>
    <row r="70" spans="1:7" ht="20.100000000000001" customHeight="1" x14ac:dyDescent="0.25">
      <c r="A70" s="72"/>
      <c r="B70" s="72"/>
      <c r="C70" s="72"/>
      <c r="D70" s="76">
        <f>SUM(D56:D69)</f>
        <v>14</v>
      </c>
      <c r="E70" s="113"/>
      <c r="F70" s="42">
        <v>10</v>
      </c>
      <c r="G70" s="42">
        <v>10</v>
      </c>
    </row>
    <row r="71" spans="1:7" ht="20.100000000000001" customHeight="1" x14ac:dyDescent="0.25">
      <c r="A71" s="75" t="s">
        <v>602</v>
      </c>
      <c r="B71" s="75" t="s">
        <v>603</v>
      </c>
      <c r="C71" s="75" t="s">
        <v>604</v>
      </c>
      <c r="D71" s="73">
        <v>0</v>
      </c>
      <c r="E71" s="113"/>
      <c r="F71" s="42">
        <v>10</v>
      </c>
      <c r="G71" s="42">
        <v>10</v>
      </c>
    </row>
    <row r="72" spans="1:7" ht="20.100000000000001" customHeight="1" x14ac:dyDescent="0.25">
      <c r="A72" s="72" t="s">
        <v>605</v>
      </c>
      <c r="B72" s="72" t="s">
        <v>603</v>
      </c>
      <c r="C72" s="72" t="s">
        <v>606</v>
      </c>
      <c r="D72" s="73">
        <v>0</v>
      </c>
      <c r="E72" s="113"/>
      <c r="F72" s="42">
        <v>10</v>
      </c>
      <c r="G72" s="42">
        <v>0</v>
      </c>
    </row>
    <row r="73" spans="1:7" ht="20.100000000000001" customHeight="1" x14ac:dyDescent="0.25">
      <c r="A73" s="75" t="s">
        <v>607</v>
      </c>
      <c r="B73" s="75" t="s">
        <v>603</v>
      </c>
      <c r="C73" s="75" t="s">
        <v>608</v>
      </c>
      <c r="D73" s="73">
        <v>0</v>
      </c>
      <c r="E73" s="113"/>
      <c r="F73" s="42">
        <v>10</v>
      </c>
      <c r="G73" s="42">
        <v>10</v>
      </c>
    </row>
    <row r="74" spans="1:7" ht="20.100000000000001" customHeight="1" x14ac:dyDescent="0.25">
      <c r="A74" s="72" t="s">
        <v>609</v>
      </c>
      <c r="B74" s="72" t="s">
        <v>603</v>
      </c>
      <c r="C74" s="72" t="s">
        <v>610</v>
      </c>
      <c r="D74" s="73">
        <v>0</v>
      </c>
      <c r="E74" s="113"/>
      <c r="F74" s="42"/>
      <c r="G74" s="42"/>
    </row>
    <row r="75" spans="1:7" ht="20.100000000000001" customHeight="1" x14ac:dyDescent="0.25">
      <c r="A75" s="75" t="s">
        <v>611</v>
      </c>
      <c r="B75" s="75" t="s">
        <v>612</v>
      </c>
      <c r="C75" s="75" t="s">
        <v>613</v>
      </c>
      <c r="D75" s="73">
        <v>1</v>
      </c>
      <c r="E75" s="113"/>
      <c r="F75" s="42">
        <v>10</v>
      </c>
      <c r="G75" s="42">
        <v>40</v>
      </c>
    </row>
    <row r="76" spans="1:7" ht="20.100000000000001" customHeight="1" x14ac:dyDescent="0.25">
      <c r="A76" s="72" t="s">
        <v>614</v>
      </c>
      <c r="B76" s="72" t="s">
        <v>612</v>
      </c>
      <c r="C76" s="72" t="s">
        <v>615</v>
      </c>
      <c r="D76" s="73">
        <v>1</v>
      </c>
      <c r="E76" s="113"/>
      <c r="F76" s="42">
        <v>10</v>
      </c>
      <c r="G76" s="42">
        <v>20</v>
      </c>
    </row>
    <row r="77" spans="1:7" ht="20.100000000000001" customHeight="1" x14ac:dyDescent="0.25">
      <c r="A77" s="75" t="s">
        <v>616</v>
      </c>
      <c r="B77" s="75" t="s">
        <v>612</v>
      </c>
      <c r="C77" s="75" t="s">
        <v>617</v>
      </c>
      <c r="D77" s="73">
        <v>0</v>
      </c>
      <c r="E77" s="113"/>
      <c r="F77" s="60">
        <v>10</v>
      </c>
      <c r="G77" s="42">
        <v>20</v>
      </c>
    </row>
    <row r="78" spans="1:7" ht="20.100000000000001" customHeight="1" x14ac:dyDescent="0.25">
      <c r="A78" s="72" t="s">
        <v>618</v>
      </c>
      <c r="B78" s="72" t="s">
        <v>612</v>
      </c>
      <c r="C78" s="72" t="s">
        <v>619</v>
      </c>
      <c r="D78" s="73">
        <v>1</v>
      </c>
      <c r="E78" s="113"/>
      <c r="F78" s="60">
        <v>10</v>
      </c>
      <c r="G78" s="42">
        <v>20</v>
      </c>
    </row>
    <row r="79" spans="1:7" ht="20.100000000000001" customHeight="1" x14ac:dyDescent="0.25">
      <c r="A79" s="72"/>
      <c r="B79" s="72"/>
      <c r="C79" s="72"/>
      <c r="D79" s="76">
        <f>SUM(D71:D78)</f>
        <v>3</v>
      </c>
      <c r="E79" s="113"/>
      <c r="F79" s="60">
        <v>10</v>
      </c>
      <c r="G79" s="42">
        <v>20</v>
      </c>
    </row>
    <row r="80" spans="1:7" ht="20.100000000000001" customHeight="1" x14ac:dyDescent="0.25">
      <c r="A80" s="72" t="s">
        <v>426</v>
      </c>
      <c r="B80" s="72" t="s">
        <v>427</v>
      </c>
      <c r="C80" s="82" t="s">
        <v>428</v>
      </c>
      <c r="D80" s="97">
        <v>2</v>
      </c>
      <c r="E80" s="113"/>
      <c r="F80" s="60">
        <v>10</v>
      </c>
      <c r="G80" s="42">
        <v>20</v>
      </c>
    </row>
    <row r="81" spans="1:7" ht="20.100000000000001" customHeight="1" x14ac:dyDescent="0.25">
      <c r="A81" s="75" t="s">
        <v>429</v>
      </c>
      <c r="B81" s="75" t="s">
        <v>430</v>
      </c>
      <c r="C81" s="94" t="s">
        <v>431</v>
      </c>
      <c r="D81" s="97">
        <v>2</v>
      </c>
      <c r="E81" s="113"/>
      <c r="F81" s="60">
        <v>10</v>
      </c>
      <c r="G81" s="42">
        <v>20</v>
      </c>
    </row>
    <row r="82" spans="1:7" ht="20.100000000000001" customHeight="1" x14ac:dyDescent="0.25">
      <c r="A82" s="72" t="s">
        <v>432</v>
      </c>
      <c r="B82" s="72" t="s">
        <v>433</v>
      </c>
      <c r="C82" s="82" t="s">
        <v>434</v>
      </c>
      <c r="D82" s="97">
        <v>2</v>
      </c>
      <c r="E82" s="113"/>
      <c r="F82" s="60">
        <v>10</v>
      </c>
      <c r="G82" s="42">
        <v>20</v>
      </c>
    </row>
    <row r="83" spans="1:7" ht="20.100000000000001" customHeight="1" x14ac:dyDescent="0.25">
      <c r="A83" s="75" t="s">
        <v>435</v>
      </c>
      <c r="B83" s="75" t="s">
        <v>436</v>
      </c>
      <c r="C83" s="83" t="s">
        <v>437</v>
      </c>
      <c r="D83" s="97">
        <v>1</v>
      </c>
      <c r="E83" s="113"/>
      <c r="F83" s="60">
        <v>10</v>
      </c>
      <c r="G83" s="42">
        <v>20</v>
      </c>
    </row>
    <row r="84" spans="1:7" ht="20.100000000000001" customHeight="1" x14ac:dyDescent="0.25">
      <c r="A84" s="75" t="s">
        <v>435</v>
      </c>
      <c r="B84" s="75" t="s">
        <v>620</v>
      </c>
      <c r="C84" s="83" t="s">
        <v>437</v>
      </c>
      <c r="D84" s="97">
        <v>1</v>
      </c>
      <c r="E84" s="113"/>
      <c r="F84" s="60"/>
      <c r="G84" s="42"/>
    </row>
    <row r="85" spans="1:7" ht="20.100000000000001" customHeight="1" x14ac:dyDescent="0.25">
      <c r="A85" s="72" t="s">
        <v>438</v>
      </c>
      <c r="B85" s="72" t="s">
        <v>439</v>
      </c>
      <c r="C85" s="92" t="s">
        <v>440</v>
      </c>
      <c r="D85" s="97">
        <v>2</v>
      </c>
      <c r="E85" s="113"/>
      <c r="F85" s="60">
        <v>10</v>
      </c>
      <c r="G85" s="42">
        <v>20</v>
      </c>
    </row>
    <row r="86" spans="1:7" ht="20.100000000000001" customHeight="1" x14ac:dyDescent="0.25">
      <c r="A86" s="75" t="s">
        <v>441</v>
      </c>
      <c r="B86" s="75" t="s">
        <v>442</v>
      </c>
      <c r="C86" s="94" t="s">
        <v>443</v>
      </c>
      <c r="D86" s="97">
        <v>1</v>
      </c>
      <c r="E86" s="113"/>
      <c r="F86" s="60"/>
      <c r="G86" s="42"/>
    </row>
    <row r="87" spans="1:7" ht="20.100000000000001" customHeight="1" x14ac:dyDescent="0.25">
      <c r="A87" s="75" t="s">
        <v>441</v>
      </c>
      <c r="B87" s="75" t="s">
        <v>621</v>
      </c>
      <c r="C87" s="94" t="s">
        <v>443</v>
      </c>
      <c r="D87" s="97">
        <v>1</v>
      </c>
      <c r="E87" s="113"/>
      <c r="F87" s="60"/>
      <c r="G87" s="42"/>
    </row>
    <row r="88" spans="1:7" ht="20.100000000000001" customHeight="1" x14ac:dyDescent="0.25">
      <c r="A88" s="72" t="s">
        <v>444</v>
      </c>
      <c r="B88" s="72" t="s">
        <v>445</v>
      </c>
      <c r="C88" s="92" t="s">
        <v>446</v>
      </c>
      <c r="D88" s="97">
        <v>2</v>
      </c>
      <c r="E88" s="113"/>
      <c r="F88" s="60"/>
      <c r="G88" s="42"/>
    </row>
    <row r="89" spans="1:7" ht="20.100000000000001" customHeight="1" x14ac:dyDescent="0.25">
      <c r="A89" s="75" t="s">
        <v>447</v>
      </c>
      <c r="B89" s="75" t="s">
        <v>448</v>
      </c>
      <c r="C89" s="83" t="s">
        <v>622</v>
      </c>
      <c r="D89" s="97">
        <v>2</v>
      </c>
      <c r="E89" s="113"/>
      <c r="F89" s="60"/>
      <c r="G89" s="42"/>
    </row>
    <row r="90" spans="1:7" ht="20.100000000000001" customHeight="1" x14ac:dyDescent="0.25">
      <c r="A90" s="72" t="s">
        <v>449</v>
      </c>
      <c r="B90" s="72" t="s">
        <v>450</v>
      </c>
      <c r="C90" s="82" t="s">
        <v>623</v>
      </c>
      <c r="D90" s="97">
        <v>2</v>
      </c>
      <c r="E90" s="113"/>
      <c r="F90" s="60"/>
      <c r="G90" s="42"/>
    </row>
    <row r="91" spans="1:7" ht="20.100000000000001" customHeight="1" x14ac:dyDescent="0.25">
      <c r="A91" s="75" t="s">
        <v>451</v>
      </c>
      <c r="B91" s="75" t="s">
        <v>452</v>
      </c>
      <c r="C91" s="83" t="s">
        <v>624</v>
      </c>
      <c r="D91" s="97">
        <v>2</v>
      </c>
      <c r="E91" s="113"/>
      <c r="F91" s="60"/>
      <c r="G91" s="42"/>
    </row>
    <row r="92" spans="1:7" ht="20.100000000000001" customHeight="1" x14ac:dyDescent="0.25">
      <c r="A92" s="72" t="s">
        <v>453</v>
      </c>
      <c r="B92" s="72" t="s">
        <v>454</v>
      </c>
      <c r="C92" s="82" t="s">
        <v>625</v>
      </c>
      <c r="D92" s="97">
        <v>2</v>
      </c>
      <c r="E92" s="113"/>
      <c r="F92" s="60"/>
      <c r="G92" s="42"/>
    </row>
    <row r="93" spans="1:7" ht="20.100000000000001" customHeight="1" x14ac:dyDescent="0.25">
      <c r="A93" s="72"/>
      <c r="B93" s="72"/>
      <c r="C93" s="82"/>
      <c r="D93" s="101">
        <f>SUM(D80:D92)</f>
        <v>22</v>
      </c>
      <c r="E93" s="113"/>
      <c r="F93" s="60"/>
      <c r="G93" s="42"/>
    </row>
    <row r="94" spans="1:7" ht="20.100000000000001" customHeight="1" x14ac:dyDescent="0.25">
      <c r="A94" s="75" t="s">
        <v>455</v>
      </c>
      <c r="B94" s="75" t="s">
        <v>456</v>
      </c>
      <c r="C94" s="83" t="s">
        <v>457</v>
      </c>
      <c r="D94" s="97">
        <v>4</v>
      </c>
      <c r="E94" s="113"/>
      <c r="F94" s="60"/>
      <c r="G94" s="42"/>
    </row>
    <row r="95" spans="1:7" ht="20.100000000000001" customHeight="1" x14ac:dyDescent="0.25">
      <c r="A95" s="72" t="s">
        <v>458</v>
      </c>
      <c r="B95" s="72" t="s">
        <v>456</v>
      </c>
      <c r="C95" s="82" t="s">
        <v>459</v>
      </c>
      <c r="D95" s="97">
        <v>4</v>
      </c>
      <c r="E95" s="113"/>
      <c r="F95" s="60"/>
      <c r="G95" s="42"/>
    </row>
    <row r="96" spans="1:7" ht="20.100000000000001" customHeight="1" x14ac:dyDescent="0.25">
      <c r="A96" s="75" t="s">
        <v>460</v>
      </c>
      <c r="B96" s="75" t="s">
        <v>461</v>
      </c>
      <c r="C96" s="83" t="s">
        <v>462</v>
      </c>
      <c r="D96" s="97">
        <v>4</v>
      </c>
      <c r="E96" s="113"/>
      <c r="F96" s="60"/>
      <c r="G96" s="42"/>
    </row>
    <row r="97" spans="1:7" ht="20.100000000000001" customHeight="1" x14ac:dyDescent="0.25">
      <c r="A97" s="72" t="s">
        <v>463</v>
      </c>
      <c r="B97" s="72" t="s">
        <v>464</v>
      </c>
      <c r="C97" s="82" t="s">
        <v>465</v>
      </c>
      <c r="D97" s="97">
        <v>4</v>
      </c>
      <c r="E97" s="113"/>
      <c r="F97" s="60"/>
      <c r="G97" s="42"/>
    </row>
    <row r="98" spans="1:7" ht="20.100000000000001" customHeight="1" x14ac:dyDescent="0.25">
      <c r="A98" s="75" t="s">
        <v>466</v>
      </c>
      <c r="B98" s="75" t="s">
        <v>467</v>
      </c>
      <c r="C98" s="83" t="s">
        <v>468</v>
      </c>
      <c r="D98" s="97">
        <v>4</v>
      </c>
      <c r="E98" s="113"/>
      <c r="F98" s="66" t="s">
        <v>34</v>
      </c>
      <c r="G98" s="64">
        <f>SUM(G24:G97)</f>
        <v>1160</v>
      </c>
    </row>
    <row r="99" spans="1:7" ht="20.100000000000001" customHeight="1" x14ac:dyDescent="0.25">
      <c r="A99" s="72" t="s">
        <v>469</v>
      </c>
      <c r="B99" s="72" t="s">
        <v>470</v>
      </c>
      <c r="C99" s="82" t="s">
        <v>471</v>
      </c>
      <c r="D99" s="97">
        <v>4</v>
      </c>
      <c r="E99" s="113"/>
      <c r="F99" s="65" t="s">
        <v>35</v>
      </c>
      <c r="G99" s="64">
        <f>G98*12/100</f>
        <v>139.19999999999999</v>
      </c>
    </row>
    <row r="100" spans="1:7" ht="20.100000000000001" customHeight="1" x14ac:dyDescent="0.25">
      <c r="A100" s="75" t="s">
        <v>472</v>
      </c>
      <c r="B100" s="75" t="s">
        <v>626</v>
      </c>
      <c r="C100" s="83" t="s">
        <v>473</v>
      </c>
      <c r="D100" s="97">
        <v>4</v>
      </c>
      <c r="E100" s="113"/>
      <c r="F100" s="65" t="s">
        <v>36</v>
      </c>
      <c r="G100" s="64">
        <f>SUM(G98:G99)</f>
        <v>1299.2</v>
      </c>
    </row>
    <row r="101" spans="1:7" ht="20.100000000000001" customHeight="1" x14ac:dyDescent="0.25">
      <c r="A101" s="72" t="s">
        <v>474</v>
      </c>
      <c r="B101" s="72" t="s">
        <v>627</v>
      </c>
      <c r="C101" s="82" t="s">
        <v>475</v>
      </c>
      <c r="D101" s="97">
        <v>4</v>
      </c>
      <c r="E101" s="113"/>
      <c r="F101" s="52"/>
      <c r="G101" s="61"/>
    </row>
    <row r="102" spans="1:7" ht="20.100000000000001" customHeight="1" x14ac:dyDescent="0.25">
      <c r="A102" s="75" t="s">
        <v>476</v>
      </c>
      <c r="B102" s="75" t="s">
        <v>628</v>
      </c>
      <c r="C102" s="83" t="s">
        <v>477</v>
      </c>
      <c r="D102" s="97">
        <v>4</v>
      </c>
      <c r="E102" s="113"/>
      <c r="F102" s="52"/>
      <c r="G102" s="61"/>
    </row>
    <row r="103" spans="1:7" ht="20.100000000000001" customHeight="1" x14ac:dyDescent="0.25">
      <c r="A103" s="72" t="s">
        <v>478</v>
      </c>
      <c r="B103" s="72" t="s">
        <v>479</v>
      </c>
      <c r="C103" s="82" t="s">
        <v>480</v>
      </c>
      <c r="D103" s="97">
        <v>3</v>
      </c>
      <c r="E103" s="113"/>
      <c r="F103" s="52"/>
      <c r="G103" s="61"/>
    </row>
    <row r="104" spans="1:7" ht="20.100000000000001" customHeight="1" x14ac:dyDescent="0.25">
      <c r="A104" s="75" t="s">
        <v>481</v>
      </c>
      <c r="B104" s="75" t="s">
        <v>629</v>
      </c>
      <c r="C104" s="83" t="s">
        <v>482</v>
      </c>
      <c r="D104" s="97">
        <v>4</v>
      </c>
      <c r="E104" s="113"/>
      <c r="F104" s="52"/>
      <c r="G104" s="61"/>
    </row>
    <row r="105" spans="1:7" ht="20.100000000000001" customHeight="1" x14ac:dyDescent="0.25">
      <c r="A105" s="72" t="s">
        <v>483</v>
      </c>
      <c r="B105" s="72" t="s">
        <v>484</v>
      </c>
      <c r="C105" s="82" t="s">
        <v>485</v>
      </c>
      <c r="D105" s="97">
        <v>4</v>
      </c>
      <c r="E105" s="113"/>
      <c r="F105" s="52"/>
      <c r="G105" s="61"/>
    </row>
    <row r="106" spans="1:7" ht="20.100000000000001" customHeight="1" x14ac:dyDescent="0.25">
      <c r="A106" s="75" t="s">
        <v>486</v>
      </c>
      <c r="B106" s="75" t="s">
        <v>487</v>
      </c>
      <c r="C106" s="83" t="s">
        <v>488</v>
      </c>
      <c r="D106" s="97">
        <v>0</v>
      </c>
      <c r="E106" s="113"/>
      <c r="F106" s="52"/>
      <c r="G106" s="61"/>
    </row>
    <row r="107" spans="1:7" ht="20.100000000000001" customHeight="1" x14ac:dyDescent="0.25">
      <c r="A107" s="72" t="s">
        <v>489</v>
      </c>
      <c r="B107" s="72" t="s">
        <v>630</v>
      </c>
      <c r="C107" s="82" t="s">
        <v>490</v>
      </c>
      <c r="D107" s="97">
        <v>4</v>
      </c>
      <c r="E107" s="113"/>
      <c r="F107" s="52"/>
      <c r="G107" s="61"/>
    </row>
    <row r="108" spans="1:7" ht="20.100000000000001" customHeight="1" x14ac:dyDescent="0.25">
      <c r="A108" s="75" t="s">
        <v>491</v>
      </c>
      <c r="B108" s="75" t="s">
        <v>492</v>
      </c>
      <c r="C108" s="83" t="s">
        <v>493</v>
      </c>
      <c r="D108" s="97">
        <v>4</v>
      </c>
      <c r="E108" s="113"/>
      <c r="F108" s="52"/>
      <c r="G108" s="61"/>
    </row>
    <row r="109" spans="1:7" ht="20.100000000000001" customHeight="1" x14ac:dyDescent="0.25">
      <c r="A109" s="72" t="s">
        <v>494</v>
      </c>
      <c r="B109" s="72" t="s">
        <v>495</v>
      </c>
      <c r="C109" s="82" t="s">
        <v>496</v>
      </c>
      <c r="D109" s="97">
        <v>4</v>
      </c>
      <c r="E109" s="113"/>
      <c r="F109" s="52"/>
      <c r="G109" s="61"/>
    </row>
    <row r="110" spans="1:7" ht="20.100000000000001" customHeight="1" x14ac:dyDescent="0.25">
      <c r="A110" s="75" t="s">
        <v>497</v>
      </c>
      <c r="B110" s="75" t="s">
        <v>631</v>
      </c>
      <c r="C110" s="83" t="s">
        <v>498</v>
      </c>
      <c r="D110" s="97">
        <v>4</v>
      </c>
      <c r="E110" s="113"/>
      <c r="F110" s="52"/>
      <c r="G110" s="61"/>
    </row>
    <row r="111" spans="1:7" ht="20.100000000000001" customHeight="1" x14ac:dyDescent="0.25">
      <c r="A111" s="72" t="s">
        <v>499</v>
      </c>
      <c r="B111" s="72" t="s">
        <v>500</v>
      </c>
      <c r="C111" s="82" t="s">
        <v>501</v>
      </c>
      <c r="D111" s="97">
        <v>4</v>
      </c>
      <c r="E111" s="113"/>
      <c r="F111" s="52"/>
      <c r="G111" s="61"/>
    </row>
    <row r="112" spans="1:7" ht="20.100000000000001" customHeight="1" x14ac:dyDescent="0.25">
      <c r="A112" s="75" t="s">
        <v>502</v>
      </c>
      <c r="B112" s="75" t="s">
        <v>503</v>
      </c>
      <c r="C112" s="83" t="s">
        <v>504</v>
      </c>
      <c r="D112" s="97">
        <v>4</v>
      </c>
      <c r="E112" s="113"/>
      <c r="F112" s="52"/>
      <c r="G112" s="61"/>
    </row>
    <row r="113" spans="1:7" ht="20.100000000000001" customHeight="1" x14ac:dyDescent="0.25">
      <c r="A113" s="72" t="s">
        <v>505</v>
      </c>
      <c r="B113" s="72" t="s">
        <v>506</v>
      </c>
      <c r="C113" s="82" t="s">
        <v>507</v>
      </c>
      <c r="D113" s="97">
        <v>4</v>
      </c>
      <c r="E113" s="113"/>
      <c r="F113" s="52"/>
      <c r="G113" s="61"/>
    </row>
    <row r="114" spans="1:7" ht="20.100000000000001" customHeight="1" x14ac:dyDescent="0.25">
      <c r="A114" s="75" t="s">
        <v>508</v>
      </c>
      <c r="B114" s="75" t="s">
        <v>632</v>
      </c>
      <c r="C114" s="83" t="s">
        <v>509</v>
      </c>
      <c r="D114" s="97">
        <v>4</v>
      </c>
      <c r="E114" s="113"/>
      <c r="F114" s="52"/>
      <c r="G114" s="61"/>
    </row>
    <row r="115" spans="1:7" ht="20.100000000000001" customHeight="1" x14ac:dyDescent="0.25">
      <c r="A115" s="72" t="s">
        <v>510</v>
      </c>
      <c r="B115" s="72" t="s">
        <v>511</v>
      </c>
      <c r="C115" s="82" t="s">
        <v>512</v>
      </c>
      <c r="D115" s="97">
        <v>4</v>
      </c>
      <c r="E115" s="113"/>
      <c r="F115" s="52"/>
      <c r="G115" s="61"/>
    </row>
    <row r="116" spans="1:7" ht="20.100000000000001" customHeight="1" x14ac:dyDescent="0.25">
      <c r="A116" s="75" t="s">
        <v>513</v>
      </c>
      <c r="B116" s="75" t="s">
        <v>514</v>
      </c>
      <c r="C116" s="83" t="s">
        <v>515</v>
      </c>
      <c r="D116" s="97">
        <v>4</v>
      </c>
      <c r="E116" s="113"/>
      <c r="F116" s="52"/>
      <c r="G116" s="61"/>
    </row>
    <row r="117" spans="1:7" ht="20.100000000000001" customHeight="1" x14ac:dyDescent="0.25">
      <c r="A117" s="72" t="s">
        <v>516</v>
      </c>
      <c r="B117" s="72" t="s">
        <v>517</v>
      </c>
      <c r="C117" s="82" t="s">
        <v>518</v>
      </c>
      <c r="D117" s="97">
        <v>4</v>
      </c>
      <c r="E117" s="113"/>
      <c r="F117" s="52"/>
      <c r="G117" s="61"/>
    </row>
    <row r="118" spans="1:7" ht="20.100000000000001" customHeight="1" x14ac:dyDescent="0.25">
      <c r="A118" s="75" t="s">
        <v>519</v>
      </c>
      <c r="B118" s="75" t="s">
        <v>520</v>
      </c>
      <c r="C118" s="83" t="s">
        <v>521</v>
      </c>
      <c r="D118" s="97">
        <v>4</v>
      </c>
      <c r="E118" s="113"/>
      <c r="F118" s="52"/>
      <c r="G118" s="61"/>
    </row>
    <row r="119" spans="1:7" ht="20.100000000000001" customHeight="1" x14ac:dyDescent="0.25">
      <c r="A119" s="72" t="s">
        <v>522</v>
      </c>
      <c r="B119" s="72" t="s">
        <v>523</v>
      </c>
      <c r="C119" s="82" t="s">
        <v>524</v>
      </c>
      <c r="D119" s="97">
        <v>4</v>
      </c>
      <c r="E119" s="113"/>
      <c r="F119" s="52"/>
      <c r="G119" s="61"/>
    </row>
    <row r="120" spans="1:7" ht="20.100000000000001" customHeight="1" x14ac:dyDescent="0.25">
      <c r="A120" s="75" t="s">
        <v>525</v>
      </c>
      <c r="B120" s="75" t="s">
        <v>526</v>
      </c>
      <c r="C120" s="83" t="s">
        <v>527</v>
      </c>
      <c r="D120" s="97">
        <v>4</v>
      </c>
      <c r="E120" s="113"/>
      <c r="F120" s="52"/>
      <c r="G120" s="61"/>
    </row>
    <row r="121" spans="1:7" ht="20.100000000000001" customHeight="1" x14ac:dyDescent="0.25">
      <c r="A121" s="72" t="s">
        <v>528</v>
      </c>
      <c r="B121" s="72" t="s">
        <v>529</v>
      </c>
      <c r="C121" s="82" t="s">
        <v>530</v>
      </c>
      <c r="D121" s="97">
        <v>4</v>
      </c>
      <c r="E121" s="113"/>
      <c r="F121" s="52"/>
      <c r="G121" s="61"/>
    </row>
    <row r="122" spans="1:7" ht="20.100000000000001" customHeight="1" x14ac:dyDescent="0.25">
      <c r="A122" s="75" t="s">
        <v>531</v>
      </c>
      <c r="B122" s="75" t="s">
        <v>532</v>
      </c>
      <c r="C122" s="83" t="s">
        <v>533</v>
      </c>
      <c r="D122" s="97">
        <v>4</v>
      </c>
      <c r="E122" s="113"/>
      <c r="F122" s="52"/>
      <c r="G122" s="61"/>
    </row>
    <row r="123" spans="1:7" ht="20.100000000000001" customHeight="1" x14ac:dyDescent="0.25">
      <c r="A123" s="74"/>
      <c r="B123" s="74"/>
      <c r="C123" s="83"/>
      <c r="D123" s="101">
        <f>SUM(D94:D122)</f>
        <v>111</v>
      </c>
      <c r="E123" s="113"/>
      <c r="F123" s="52"/>
      <c r="G123" s="61"/>
    </row>
    <row r="124" spans="1:7" ht="20.100000000000001" customHeight="1" x14ac:dyDescent="0.25">
      <c r="A124" s="128"/>
      <c r="B124" s="128"/>
      <c r="C124" s="131"/>
      <c r="D124" s="129"/>
      <c r="E124" s="130"/>
      <c r="F124" s="52"/>
      <c r="G124" s="61"/>
    </row>
    <row r="125" spans="1:7" ht="20.100000000000001" customHeight="1" x14ac:dyDescent="0.25">
      <c r="A125" s="132"/>
      <c r="B125" s="114"/>
      <c r="C125" s="115" t="s">
        <v>633</v>
      </c>
      <c r="D125" s="133"/>
      <c r="E125" s="133"/>
      <c r="F125" s="52"/>
      <c r="G125" s="61"/>
    </row>
    <row r="126" spans="1:7" ht="20.100000000000001" customHeight="1" x14ac:dyDescent="0.25">
      <c r="A126" s="132"/>
      <c r="B126" s="116" t="s">
        <v>29</v>
      </c>
      <c r="C126" s="115" t="s">
        <v>222</v>
      </c>
      <c r="D126" s="133"/>
      <c r="E126" s="133"/>
      <c r="F126" s="52"/>
      <c r="G126" s="61"/>
    </row>
    <row r="127" spans="1:7" ht="20.100000000000001" customHeight="1" x14ac:dyDescent="0.25">
      <c r="A127" s="132"/>
      <c r="B127" s="114"/>
      <c r="C127" s="115" t="s">
        <v>223</v>
      </c>
      <c r="D127" s="133"/>
      <c r="E127" s="133"/>
      <c r="F127" s="52"/>
      <c r="G127" s="61"/>
    </row>
    <row r="128" spans="1:7" ht="20.100000000000001" customHeight="1" x14ac:dyDescent="0.25">
      <c r="A128" s="132"/>
      <c r="B128" s="86">
        <v>1</v>
      </c>
      <c r="C128" s="117" t="s">
        <v>634</v>
      </c>
      <c r="D128" s="133"/>
      <c r="E128" s="133"/>
      <c r="F128" s="52"/>
      <c r="G128" s="61"/>
    </row>
    <row r="129" spans="1:7" ht="20.100000000000001" customHeight="1" x14ac:dyDescent="0.25">
      <c r="A129" s="98"/>
      <c r="B129" s="86">
        <v>1</v>
      </c>
      <c r="C129" s="117" t="s">
        <v>635</v>
      </c>
      <c r="D129" s="100"/>
      <c r="E129" s="100"/>
      <c r="F129" s="52"/>
      <c r="G129" s="61"/>
    </row>
    <row r="130" spans="1:7" ht="20.100000000000001" customHeight="1" x14ac:dyDescent="0.25">
      <c r="A130" s="98"/>
      <c r="B130" s="86">
        <v>1</v>
      </c>
      <c r="C130" s="113" t="s">
        <v>636</v>
      </c>
      <c r="D130" s="100"/>
      <c r="E130" s="100"/>
      <c r="F130" s="52"/>
      <c r="G130" s="61"/>
    </row>
    <row r="131" spans="1:7" ht="20.100000000000001" customHeight="1" x14ac:dyDescent="0.25">
      <c r="A131" s="98"/>
      <c r="B131" s="86">
        <v>1</v>
      </c>
      <c r="C131" s="113" t="s">
        <v>534</v>
      </c>
      <c r="D131" s="100"/>
      <c r="E131" s="100"/>
      <c r="F131" s="52"/>
      <c r="G131" s="61"/>
    </row>
    <row r="132" spans="1:7" ht="20.100000000000001" customHeight="1" x14ac:dyDescent="0.25">
      <c r="A132" s="98"/>
      <c r="B132" s="86">
        <v>1</v>
      </c>
      <c r="C132" s="113" t="s">
        <v>535</v>
      </c>
      <c r="D132" s="100"/>
      <c r="E132" s="100"/>
      <c r="F132" s="52"/>
      <c r="G132" s="61"/>
    </row>
    <row r="133" spans="1:7" ht="20.100000000000001" customHeight="1" x14ac:dyDescent="0.25">
      <c r="A133" s="98"/>
      <c r="B133" s="86">
        <v>3</v>
      </c>
      <c r="C133" s="113" t="s">
        <v>536</v>
      </c>
      <c r="D133" s="100"/>
      <c r="E133" s="100"/>
      <c r="F133" s="52"/>
      <c r="G133" s="61"/>
    </row>
    <row r="134" spans="1:7" ht="20.100000000000001" customHeight="1" x14ac:dyDescent="0.25">
      <c r="A134" s="98"/>
      <c r="B134" s="86">
        <v>1</v>
      </c>
      <c r="C134" s="113" t="s">
        <v>537</v>
      </c>
      <c r="D134" s="100"/>
      <c r="E134" s="100"/>
      <c r="F134" s="52"/>
      <c r="G134" s="61"/>
    </row>
    <row r="135" spans="1:7" ht="20.100000000000001" customHeight="1" x14ac:dyDescent="0.25">
      <c r="A135" s="98"/>
      <c r="B135" s="86">
        <v>1</v>
      </c>
      <c r="C135" s="118" t="s">
        <v>538</v>
      </c>
      <c r="D135" s="100"/>
      <c r="E135" s="100"/>
      <c r="F135" s="52"/>
      <c r="G135" s="61"/>
    </row>
    <row r="136" spans="1:7" ht="20.100000000000001" customHeight="1" x14ac:dyDescent="0.25">
      <c r="A136" s="98"/>
      <c r="B136" s="86">
        <v>1</v>
      </c>
      <c r="C136" s="118" t="s">
        <v>539</v>
      </c>
      <c r="D136" s="100"/>
      <c r="E136" s="100"/>
      <c r="F136" s="52"/>
      <c r="G136" s="61"/>
    </row>
    <row r="137" spans="1:7" ht="20.100000000000001" customHeight="1" x14ac:dyDescent="0.25">
      <c r="A137" s="98"/>
      <c r="B137" s="84">
        <f>SUM(B128:B136)</f>
        <v>11</v>
      </c>
      <c r="C137" s="117"/>
      <c r="D137" s="100"/>
      <c r="E137" s="100"/>
      <c r="F137" s="52"/>
      <c r="G137" s="61"/>
    </row>
    <row r="138" spans="1:7" ht="20.100000000000001" customHeight="1" x14ac:dyDescent="0.25">
      <c r="A138" s="98"/>
      <c r="B138" s="86"/>
      <c r="C138" s="117"/>
      <c r="D138" s="100"/>
      <c r="E138" s="100"/>
      <c r="F138" s="52"/>
      <c r="G138" s="61"/>
    </row>
    <row r="139" spans="1:7" ht="20.100000000000001" customHeight="1" x14ac:dyDescent="0.25">
      <c r="A139" s="98"/>
      <c r="B139" s="86"/>
      <c r="C139" s="115" t="s">
        <v>540</v>
      </c>
      <c r="D139" s="100"/>
      <c r="E139" s="100"/>
      <c r="F139" s="52"/>
      <c r="G139" s="61"/>
    </row>
    <row r="140" spans="1:7" ht="20.100000000000001" customHeight="1" x14ac:dyDescent="0.25">
      <c r="A140" s="98"/>
      <c r="B140" s="86">
        <v>1</v>
      </c>
      <c r="C140" s="117" t="s">
        <v>541</v>
      </c>
      <c r="D140" s="100"/>
      <c r="E140" s="100"/>
      <c r="F140" s="52"/>
      <c r="G140" s="61"/>
    </row>
    <row r="141" spans="1:7" ht="20.100000000000001" customHeight="1" x14ac:dyDescent="0.25">
      <c r="A141" s="98"/>
      <c r="B141" s="86">
        <v>1</v>
      </c>
      <c r="C141" s="117" t="s">
        <v>542</v>
      </c>
      <c r="D141" s="100"/>
      <c r="E141" s="100"/>
      <c r="F141" s="52"/>
      <c r="G141" s="61"/>
    </row>
    <row r="142" spans="1:7" ht="20.100000000000001" customHeight="1" x14ac:dyDescent="0.25">
      <c r="A142" s="98"/>
      <c r="B142" s="86">
        <v>1</v>
      </c>
      <c r="C142" s="117" t="s">
        <v>543</v>
      </c>
      <c r="D142" s="100"/>
      <c r="E142" s="100"/>
      <c r="F142" s="52"/>
      <c r="G142" s="61"/>
    </row>
    <row r="143" spans="1:7" ht="20.100000000000001" customHeight="1" x14ac:dyDescent="0.25">
      <c r="A143" s="98"/>
      <c r="B143" s="86">
        <v>1</v>
      </c>
      <c r="C143" s="117" t="s">
        <v>544</v>
      </c>
      <c r="D143" s="100"/>
      <c r="E143" s="100"/>
      <c r="F143" s="52"/>
      <c r="G143" s="61"/>
    </row>
    <row r="144" spans="1:7" ht="20.100000000000001" customHeight="1" x14ac:dyDescent="0.25">
      <c r="A144" s="98"/>
      <c r="B144" s="86">
        <v>1</v>
      </c>
      <c r="C144" s="117" t="s">
        <v>545</v>
      </c>
      <c r="D144" s="100"/>
      <c r="E144" s="100"/>
      <c r="F144" s="52"/>
      <c r="G144" s="61"/>
    </row>
    <row r="145" spans="1:7" ht="20.100000000000001" customHeight="1" x14ac:dyDescent="0.25">
      <c r="A145" s="98"/>
      <c r="B145" s="86">
        <v>1</v>
      </c>
      <c r="C145" s="117" t="s">
        <v>546</v>
      </c>
      <c r="D145" s="100"/>
      <c r="E145" s="100"/>
      <c r="F145" s="52"/>
      <c r="G145" s="61"/>
    </row>
    <row r="146" spans="1:7" ht="20.100000000000001" customHeight="1" x14ac:dyDescent="0.25">
      <c r="A146" s="98"/>
      <c r="B146" s="86">
        <v>1</v>
      </c>
      <c r="C146" s="117" t="s">
        <v>547</v>
      </c>
      <c r="D146" s="100"/>
      <c r="E146" s="100"/>
      <c r="F146" s="52"/>
      <c r="G146" s="61"/>
    </row>
    <row r="147" spans="1:7" ht="20.100000000000001" customHeight="1" x14ac:dyDescent="0.25">
      <c r="A147" s="98"/>
      <c r="B147" s="86">
        <v>3</v>
      </c>
      <c r="C147" s="88" t="s">
        <v>548</v>
      </c>
      <c r="D147" s="100"/>
      <c r="E147" s="100"/>
      <c r="F147" s="52"/>
      <c r="G147" s="61"/>
    </row>
    <row r="148" spans="1:7" ht="20.100000000000001" customHeight="1" x14ac:dyDescent="0.25">
      <c r="A148" s="98"/>
      <c r="B148" s="86">
        <v>3</v>
      </c>
      <c r="C148" s="88" t="s">
        <v>549</v>
      </c>
      <c r="D148" s="100"/>
      <c r="E148" s="100"/>
      <c r="F148" s="52"/>
      <c r="G148" s="61"/>
    </row>
    <row r="149" spans="1:7" ht="20.100000000000001" customHeight="1" x14ac:dyDescent="0.25">
      <c r="A149" s="98"/>
      <c r="B149" s="86">
        <v>1</v>
      </c>
      <c r="C149" s="117" t="s">
        <v>550</v>
      </c>
      <c r="D149" s="100"/>
      <c r="E149" s="100"/>
      <c r="F149" s="52"/>
      <c r="G149" s="61"/>
    </row>
    <row r="150" spans="1:7" ht="20.100000000000001" customHeight="1" x14ac:dyDescent="0.25">
      <c r="A150" s="98"/>
      <c r="B150" s="86">
        <v>2</v>
      </c>
      <c r="C150" s="117" t="s">
        <v>551</v>
      </c>
      <c r="D150" s="100"/>
      <c r="E150" s="100"/>
      <c r="F150" s="52"/>
      <c r="G150" s="61"/>
    </row>
    <row r="151" spans="1:7" ht="20.100000000000001" customHeight="1" x14ac:dyDescent="0.25">
      <c r="A151" s="98"/>
      <c r="B151" s="86">
        <v>2</v>
      </c>
      <c r="C151" s="117" t="s">
        <v>552</v>
      </c>
      <c r="D151" s="100"/>
      <c r="E151" s="100"/>
      <c r="F151" s="52"/>
      <c r="G151" s="61"/>
    </row>
    <row r="152" spans="1:7" ht="20.100000000000001" customHeight="1" x14ac:dyDescent="0.25">
      <c r="A152" s="98"/>
      <c r="B152" s="86">
        <v>2</v>
      </c>
      <c r="C152" s="117" t="s">
        <v>553</v>
      </c>
      <c r="D152" s="100"/>
      <c r="E152" s="100"/>
      <c r="F152" s="52"/>
      <c r="G152" s="61"/>
    </row>
    <row r="153" spans="1:7" ht="20.100000000000001" customHeight="1" x14ac:dyDescent="0.25">
      <c r="A153" s="98"/>
      <c r="B153" s="86">
        <v>2</v>
      </c>
      <c r="C153" s="117" t="s">
        <v>554</v>
      </c>
      <c r="D153" s="100"/>
      <c r="E153" s="100"/>
      <c r="F153" s="52"/>
      <c r="G153" s="61"/>
    </row>
    <row r="154" spans="1:7" ht="20.100000000000001" customHeight="1" x14ac:dyDescent="0.25">
      <c r="A154" s="98"/>
      <c r="B154" s="86">
        <v>1</v>
      </c>
      <c r="C154" s="117" t="s">
        <v>276</v>
      </c>
      <c r="D154" s="100"/>
      <c r="E154" s="100"/>
      <c r="F154" s="52"/>
      <c r="G154" s="61"/>
    </row>
    <row r="155" spans="1:7" ht="20.100000000000001" customHeight="1" x14ac:dyDescent="0.25">
      <c r="A155" s="98"/>
      <c r="B155" s="86">
        <v>1</v>
      </c>
      <c r="C155" s="88" t="s">
        <v>555</v>
      </c>
      <c r="D155" s="100"/>
      <c r="E155" s="100"/>
      <c r="F155" s="52"/>
      <c r="G155" s="61"/>
    </row>
    <row r="156" spans="1:7" ht="20.100000000000001" customHeight="1" x14ac:dyDescent="0.25">
      <c r="A156" s="98"/>
      <c r="B156" s="86">
        <v>1</v>
      </c>
      <c r="C156" s="117" t="s">
        <v>556</v>
      </c>
      <c r="D156" s="100"/>
      <c r="E156" s="100"/>
      <c r="F156" s="52"/>
      <c r="G156" s="61"/>
    </row>
    <row r="157" spans="1:7" ht="20.100000000000001" customHeight="1" x14ac:dyDescent="0.25">
      <c r="A157" s="98"/>
      <c r="B157" s="86">
        <v>1</v>
      </c>
      <c r="C157" s="117" t="s">
        <v>557</v>
      </c>
      <c r="D157" s="100"/>
      <c r="E157" s="100"/>
      <c r="F157" s="52"/>
      <c r="G157" s="61"/>
    </row>
    <row r="158" spans="1:7" ht="20.100000000000001" customHeight="1" x14ac:dyDescent="0.25">
      <c r="A158" s="98"/>
      <c r="B158" s="86">
        <v>2</v>
      </c>
      <c r="C158" s="117" t="s">
        <v>558</v>
      </c>
      <c r="D158" s="100"/>
      <c r="E158" s="100"/>
      <c r="F158" s="52"/>
      <c r="G158" s="61"/>
    </row>
    <row r="159" spans="1:7" ht="20.100000000000001" customHeight="1" x14ac:dyDescent="0.25">
      <c r="A159" s="98"/>
      <c r="B159" s="84">
        <f>SUM(B140:B158)</f>
        <v>28</v>
      </c>
      <c r="C159" s="117"/>
      <c r="D159" s="100"/>
      <c r="E159" s="100"/>
      <c r="F159" s="52"/>
      <c r="G159" s="61"/>
    </row>
    <row r="160" spans="1:7" ht="20.100000000000001" customHeight="1" x14ac:dyDescent="0.25">
      <c r="A160" s="98"/>
      <c r="B160" s="86"/>
      <c r="C160" s="117"/>
      <c r="D160" s="100"/>
      <c r="E160" s="100"/>
      <c r="F160" s="52"/>
      <c r="G160" s="61"/>
    </row>
    <row r="161" spans="1:7" ht="20.100000000000001" customHeight="1" x14ac:dyDescent="0.25">
      <c r="A161" s="98"/>
      <c r="B161" s="86"/>
      <c r="C161" s="115" t="s">
        <v>265</v>
      </c>
      <c r="D161" s="100"/>
      <c r="E161" s="100"/>
      <c r="F161" s="52"/>
      <c r="G161" s="61"/>
    </row>
    <row r="162" spans="1:7" ht="20.100000000000001" customHeight="1" x14ac:dyDescent="0.25">
      <c r="A162" s="98"/>
      <c r="B162" s="86">
        <v>1</v>
      </c>
      <c r="C162" s="117" t="s">
        <v>559</v>
      </c>
      <c r="D162" s="100"/>
      <c r="E162" s="100"/>
      <c r="F162" s="52"/>
      <c r="G162" s="61"/>
    </row>
    <row r="163" spans="1:7" ht="20.100000000000001" customHeight="1" x14ac:dyDescent="0.25">
      <c r="A163" s="98"/>
      <c r="B163" s="86">
        <v>1</v>
      </c>
      <c r="C163" s="117" t="s">
        <v>560</v>
      </c>
      <c r="D163" s="100"/>
      <c r="E163" s="100"/>
      <c r="F163" s="52"/>
      <c r="G163" s="61"/>
    </row>
    <row r="164" spans="1:7" ht="20.100000000000001" customHeight="1" x14ac:dyDescent="0.25">
      <c r="A164" s="98"/>
      <c r="B164" s="86">
        <v>1</v>
      </c>
      <c r="C164" s="117" t="s">
        <v>273</v>
      </c>
      <c r="D164" s="100"/>
      <c r="E164" s="100"/>
      <c r="F164" s="52"/>
      <c r="G164" s="61"/>
    </row>
    <row r="165" spans="1:7" ht="20.100000000000001" customHeight="1" x14ac:dyDescent="0.25">
      <c r="A165" s="98"/>
      <c r="B165" s="86">
        <v>1</v>
      </c>
      <c r="C165" s="117" t="s">
        <v>561</v>
      </c>
      <c r="D165" s="100"/>
      <c r="E165" s="100"/>
      <c r="F165" s="52"/>
      <c r="G165" s="61"/>
    </row>
    <row r="166" spans="1:7" ht="20.100000000000001" customHeight="1" x14ac:dyDescent="0.25">
      <c r="A166" s="98"/>
      <c r="B166" s="86">
        <v>1</v>
      </c>
      <c r="C166" s="117" t="s">
        <v>562</v>
      </c>
      <c r="D166" s="100"/>
      <c r="E166" s="100"/>
      <c r="F166" s="52"/>
      <c r="G166" s="61"/>
    </row>
    <row r="167" spans="1:7" ht="20.100000000000001" customHeight="1" x14ac:dyDescent="0.25">
      <c r="A167" s="98"/>
      <c r="B167" s="86">
        <v>1</v>
      </c>
      <c r="C167" s="117" t="s">
        <v>563</v>
      </c>
      <c r="D167" s="100"/>
      <c r="E167" s="100"/>
      <c r="F167" s="52"/>
      <c r="G167" s="61"/>
    </row>
    <row r="168" spans="1:7" ht="20.100000000000001" customHeight="1" x14ac:dyDescent="0.25">
      <c r="A168" s="98"/>
      <c r="B168" s="86">
        <v>1</v>
      </c>
      <c r="C168" s="117" t="s">
        <v>564</v>
      </c>
      <c r="D168" s="100"/>
      <c r="E168" s="100"/>
      <c r="F168" s="52"/>
      <c r="G168" s="61"/>
    </row>
    <row r="169" spans="1:7" ht="20.100000000000001" customHeight="1" x14ac:dyDescent="0.25">
      <c r="A169" s="98"/>
      <c r="B169" s="86">
        <v>1</v>
      </c>
      <c r="C169" s="117" t="s">
        <v>565</v>
      </c>
      <c r="D169" s="100"/>
      <c r="E169" s="100"/>
      <c r="F169" s="52"/>
      <c r="G169" s="61"/>
    </row>
    <row r="170" spans="1:7" ht="20.100000000000001" customHeight="1" x14ac:dyDescent="0.25">
      <c r="A170" s="98"/>
      <c r="B170" s="86">
        <v>1</v>
      </c>
      <c r="C170" s="117" t="s">
        <v>566</v>
      </c>
      <c r="D170" s="100"/>
      <c r="E170" s="100"/>
      <c r="F170" s="52"/>
      <c r="G170" s="61"/>
    </row>
    <row r="171" spans="1:7" ht="20.100000000000001" customHeight="1" x14ac:dyDescent="0.25">
      <c r="A171" s="98"/>
      <c r="B171" s="86">
        <v>1</v>
      </c>
      <c r="C171" s="117" t="s">
        <v>567</v>
      </c>
      <c r="D171" s="100"/>
      <c r="E171" s="100"/>
      <c r="F171" s="52"/>
      <c r="G171" s="61"/>
    </row>
    <row r="172" spans="1:7" ht="20.100000000000001" customHeight="1" x14ac:dyDescent="0.25">
      <c r="A172" s="98"/>
      <c r="B172" s="86">
        <v>1</v>
      </c>
      <c r="C172" s="117" t="s">
        <v>568</v>
      </c>
      <c r="D172" s="100"/>
      <c r="E172" s="100"/>
      <c r="F172" s="52"/>
      <c r="G172" s="61"/>
    </row>
    <row r="173" spans="1:7" ht="20.100000000000001" customHeight="1" x14ac:dyDescent="0.25">
      <c r="A173" s="98"/>
      <c r="B173" s="86">
        <v>1</v>
      </c>
      <c r="C173" s="117" t="s">
        <v>569</v>
      </c>
      <c r="D173" s="100"/>
      <c r="E173" s="100"/>
      <c r="F173" s="52"/>
      <c r="G173" s="61"/>
    </row>
    <row r="174" spans="1:7" ht="20.100000000000001" customHeight="1" x14ac:dyDescent="0.25">
      <c r="A174" s="98"/>
      <c r="B174" s="86">
        <v>1</v>
      </c>
      <c r="C174" s="117" t="s">
        <v>570</v>
      </c>
      <c r="D174" s="100"/>
      <c r="E174" s="100"/>
      <c r="F174" s="52"/>
      <c r="G174" s="61"/>
    </row>
    <row r="175" spans="1:7" ht="20.100000000000001" customHeight="1" x14ac:dyDescent="0.25">
      <c r="A175" s="98"/>
      <c r="B175" s="86">
        <v>1</v>
      </c>
      <c r="C175" s="117" t="s">
        <v>637</v>
      </c>
      <c r="D175" s="100"/>
      <c r="E175" s="100"/>
      <c r="F175" s="52"/>
      <c r="G175" s="61"/>
    </row>
    <row r="176" spans="1:7" ht="20.100000000000001" customHeight="1" x14ac:dyDescent="0.25">
      <c r="A176" s="98"/>
      <c r="B176" s="86">
        <v>1</v>
      </c>
      <c r="C176" s="117" t="s">
        <v>571</v>
      </c>
      <c r="D176" s="100"/>
      <c r="E176" s="100"/>
      <c r="F176" s="52"/>
      <c r="G176" s="61"/>
    </row>
    <row r="177" spans="1:7" ht="20.100000000000001" customHeight="1" x14ac:dyDescent="0.25">
      <c r="A177" s="98"/>
      <c r="B177" s="86">
        <v>1</v>
      </c>
      <c r="C177" s="88" t="s">
        <v>572</v>
      </c>
      <c r="D177" s="100"/>
      <c r="E177" s="100"/>
      <c r="F177" s="52"/>
      <c r="G177" s="61"/>
    </row>
    <row r="178" spans="1:7" ht="20.100000000000001" customHeight="1" x14ac:dyDescent="0.25">
      <c r="A178" s="98"/>
      <c r="B178" s="86">
        <v>1</v>
      </c>
      <c r="C178" s="88" t="s">
        <v>573</v>
      </c>
      <c r="D178" s="100"/>
      <c r="E178" s="100"/>
      <c r="F178" s="52"/>
      <c r="G178" s="61"/>
    </row>
    <row r="179" spans="1:7" ht="20.100000000000001" customHeight="1" x14ac:dyDescent="0.25">
      <c r="A179" s="98"/>
      <c r="B179" s="86">
        <v>1</v>
      </c>
      <c r="C179" s="117" t="s">
        <v>574</v>
      </c>
      <c r="D179" s="100"/>
      <c r="E179" s="100"/>
      <c r="F179" s="52"/>
      <c r="G179" s="61"/>
    </row>
    <row r="180" spans="1:7" ht="20.100000000000001" customHeight="1" x14ac:dyDescent="0.25">
      <c r="A180" s="98"/>
      <c r="B180" s="86">
        <v>1</v>
      </c>
      <c r="C180" s="117" t="s">
        <v>575</v>
      </c>
      <c r="D180" s="100"/>
      <c r="E180" s="100"/>
      <c r="F180" s="52"/>
      <c r="G180" s="61"/>
    </row>
    <row r="181" spans="1:7" ht="20.100000000000001" customHeight="1" x14ac:dyDescent="0.25">
      <c r="A181" s="98"/>
      <c r="B181" s="86">
        <v>1</v>
      </c>
      <c r="C181" s="117" t="s">
        <v>576</v>
      </c>
      <c r="D181" s="100"/>
      <c r="E181" s="100"/>
      <c r="F181" s="52"/>
      <c r="G181" s="61"/>
    </row>
    <row r="182" spans="1:7" ht="20.100000000000001" customHeight="1" x14ac:dyDescent="0.25">
      <c r="A182" s="98"/>
      <c r="B182" s="86">
        <v>2</v>
      </c>
      <c r="C182" s="117" t="s">
        <v>577</v>
      </c>
      <c r="D182" s="100"/>
      <c r="E182" s="100"/>
      <c r="F182" s="52"/>
      <c r="G182" s="61"/>
    </row>
    <row r="183" spans="1:7" ht="20.100000000000001" customHeight="1" x14ac:dyDescent="0.25">
      <c r="A183" s="98"/>
      <c r="B183" s="86">
        <v>1</v>
      </c>
      <c r="C183" s="117" t="s">
        <v>578</v>
      </c>
      <c r="D183" s="100"/>
      <c r="E183" s="100"/>
      <c r="F183" s="52"/>
      <c r="G183" s="61"/>
    </row>
    <row r="184" spans="1:7" ht="20.100000000000001" customHeight="1" x14ac:dyDescent="0.25">
      <c r="A184" s="98"/>
      <c r="B184" s="86">
        <v>1</v>
      </c>
      <c r="C184" s="117" t="s">
        <v>579</v>
      </c>
      <c r="D184" s="100"/>
      <c r="E184" s="100"/>
      <c r="F184" s="52"/>
      <c r="G184" s="61"/>
    </row>
    <row r="185" spans="1:7" ht="20.100000000000001" customHeight="1" x14ac:dyDescent="0.25">
      <c r="A185" s="98"/>
      <c r="B185" s="86">
        <v>1</v>
      </c>
      <c r="C185" s="117" t="s">
        <v>580</v>
      </c>
      <c r="D185" s="100"/>
      <c r="E185" s="100"/>
      <c r="F185" s="52"/>
      <c r="G185" s="61"/>
    </row>
    <row r="186" spans="1:7" ht="20.100000000000001" customHeight="1" x14ac:dyDescent="0.25">
      <c r="A186" s="98"/>
      <c r="B186" s="86">
        <v>8</v>
      </c>
      <c r="C186" s="113" t="s">
        <v>581</v>
      </c>
      <c r="D186" s="100"/>
      <c r="E186" s="100"/>
      <c r="F186" s="52"/>
      <c r="G186" s="61"/>
    </row>
    <row r="187" spans="1:7" ht="20.100000000000001" customHeight="1" x14ac:dyDescent="0.25">
      <c r="A187" s="98"/>
      <c r="B187" s="86">
        <v>2</v>
      </c>
      <c r="C187" s="113" t="s">
        <v>284</v>
      </c>
      <c r="D187" s="100"/>
      <c r="E187" s="100"/>
      <c r="F187" s="52"/>
      <c r="G187" s="61"/>
    </row>
    <row r="188" spans="1:7" ht="20.100000000000001" customHeight="1" x14ac:dyDescent="0.25">
      <c r="A188" s="98"/>
      <c r="B188" s="84">
        <f>SUM(B162:B187)</f>
        <v>35</v>
      </c>
      <c r="C188" s="113"/>
      <c r="D188" s="100"/>
      <c r="E188" s="100"/>
      <c r="F188" s="52"/>
      <c r="G188" s="61"/>
    </row>
    <row r="189" spans="1:7" ht="20.100000000000001" customHeight="1" x14ac:dyDescent="0.25">
      <c r="A189" s="98"/>
      <c r="B189" s="86"/>
      <c r="C189" s="113"/>
      <c r="D189" s="100"/>
      <c r="E189" s="100"/>
      <c r="F189" s="52"/>
      <c r="G189" s="61"/>
    </row>
    <row r="190" spans="1:7" ht="20.100000000000001" customHeight="1" x14ac:dyDescent="0.25">
      <c r="A190" s="98"/>
      <c r="B190" s="85"/>
      <c r="C190" s="85"/>
      <c r="D190" s="100"/>
      <c r="E190" s="100"/>
      <c r="F190" s="52"/>
      <c r="G190" s="61"/>
    </row>
    <row r="191" spans="1:7" ht="20.100000000000001" customHeight="1" x14ac:dyDescent="0.25">
      <c r="A191" s="98"/>
      <c r="B191" s="86">
        <v>1</v>
      </c>
      <c r="C191" s="87" t="s">
        <v>647</v>
      </c>
      <c r="D191" s="100"/>
      <c r="E191" s="100"/>
      <c r="F191" s="52"/>
      <c r="G191" s="61"/>
    </row>
    <row r="192" spans="1:7" ht="20.100000000000001" customHeight="1" x14ac:dyDescent="0.25">
      <c r="A192" s="98"/>
      <c r="B192" s="86">
        <v>4</v>
      </c>
      <c r="C192" s="87" t="s">
        <v>57</v>
      </c>
      <c r="D192" s="100"/>
      <c r="E192" s="100"/>
      <c r="F192" s="52"/>
      <c r="G192" s="61"/>
    </row>
    <row r="193" spans="1:7" ht="20.100000000000001" customHeight="1" x14ac:dyDescent="0.25">
      <c r="A193" s="98"/>
      <c r="B193" s="86">
        <v>1</v>
      </c>
      <c r="C193" s="87" t="s">
        <v>285</v>
      </c>
      <c r="D193" s="100"/>
      <c r="E193" s="100"/>
      <c r="F193" s="52"/>
      <c r="G193" s="61"/>
    </row>
    <row r="194" spans="1:7" ht="20.100000000000001" customHeight="1" x14ac:dyDescent="0.25">
      <c r="A194" s="98"/>
      <c r="B194" s="86">
        <v>2</v>
      </c>
      <c r="C194" s="87" t="s">
        <v>648</v>
      </c>
      <c r="D194" s="100"/>
      <c r="E194" s="100"/>
      <c r="F194" s="52"/>
      <c r="G194" s="61"/>
    </row>
    <row r="195" spans="1:7" ht="20.100000000000001" customHeight="1" x14ac:dyDescent="0.25">
      <c r="A195" s="98"/>
      <c r="B195" s="86">
        <v>1</v>
      </c>
      <c r="C195" s="87" t="s">
        <v>649</v>
      </c>
      <c r="D195" s="100"/>
      <c r="E195" s="100"/>
      <c r="F195" s="52"/>
      <c r="G195" s="61"/>
    </row>
    <row r="196" spans="1:7" ht="20.100000000000001" customHeight="1" x14ac:dyDescent="0.25">
      <c r="A196" s="98"/>
      <c r="B196" s="84">
        <f>SUM(B191:B195)</f>
        <v>9</v>
      </c>
      <c r="C196" s="87"/>
      <c r="D196" s="100"/>
      <c r="E196" s="100"/>
      <c r="F196" s="52"/>
      <c r="G196" s="61"/>
    </row>
    <row r="197" spans="1:7" ht="20.100000000000001" customHeight="1" x14ac:dyDescent="0.25">
      <c r="A197" s="98"/>
      <c r="B197" s="86"/>
      <c r="C197" s="87"/>
      <c r="D197" s="100"/>
      <c r="E197" s="100"/>
      <c r="F197" s="52"/>
      <c r="G197" s="61"/>
    </row>
    <row r="198" spans="1:7" ht="20.100000000000001" customHeight="1" x14ac:dyDescent="0.25">
      <c r="A198" s="98"/>
      <c r="B198" s="134" t="s">
        <v>638</v>
      </c>
      <c r="C198" s="134"/>
      <c r="D198" s="100"/>
      <c r="E198" s="100"/>
      <c r="F198" s="52"/>
      <c r="G198" s="61"/>
    </row>
    <row r="199" spans="1:7" ht="20.100000000000001" customHeight="1" x14ac:dyDescent="0.25">
      <c r="A199" s="98"/>
      <c r="B199" s="135" t="s">
        <v>29</v>
      </c>
      <c r="C199" s="136" t="s">
        <v>222</v>
      </c>
      <c r="D199" s="100"/>
      <c r="E199" s="100"/>
      <c r="F199" s="52"/>
      <c r="G199" s="61"/>
    </row>
    <row r="200" spans="1:7" ht="20.100000000000001" customHeight="1" x14ac:dyDescent="0.25">
      <c r="A200" s="98"/>
      <c r="B200" s="137">
        <v>2</v>
      </c>
      <c r="C200" s="138" t="s">
        <v>639</v>
      </c>
      <c r="D200" s="100"/>
      <c r="E200" s="100"/>
      <c r="F200" s="52"/>
      <c r="G200" s="61"/>
    </row>
    <row r="201" spans="1:7" ht="20.100000000000001" customHeight="1" x14ac:dyDescent="0.25">
      <c r="A201" s="98"/>
      <c r="B201" s="137">
        <v>2</v>
      </c>
      <c r="C201" s="138" t="s">
        <v>640</v>
      </c>
      <c r="D201" s="100"/>
      <c r="E201" s="100"/>
      <c r="F201" s="52"/>
      <c r="G201" s="61"/>
    </row>
    <row r="202" spans="1:7" ht="20.100000000000001" customHeight="1" x14ac:dyDescent="0.25">
      <c r="A202" s="98"/>
      <c r="B202" s="137">
        <v>2</v>
      </c>
      <c r="C202" s="138" t="s">
        <v>308</v>
      </c>
      <c r="D202" s="100"/>
      <c r="E202" s="100"/>
      <c r="F202" s="52"/>
      <c r="G202" s="61"/>
    </row>
    <row r="203" spans="1:7" ht="20.100000000000001" customHeight="1" x14ac:dyDescent="0.25">
      <c r="A203" s="98"/>
      <c r="B203" s="137">
        <v>1</v>
      </c>
      <c r="C203" s="138" t="s">
        <v>641</v>
      </c>
      <c r="D203" s="100"/>
      <c r="E203" s="100"/>
      <c r="F203" s="52"/>
      <c r="G203" s="61"/>
    </row>
    <row r="204" spans="1:7" ht="20.100000000000001" customHeight="1" x14ac:dyDescent="0.25">
      <c r="A204" s="98"/>
      <c r="B204" s="137">
        <v>2</v>
      </c>
      <c r="C204" s="138" t="s">
        <v>314</v>
      </c>
      <c r="D204" s="100"/>
      <c r="E204" s="100"/>
      <c r="F204" s="52"/>
      <c r="G204" s="61"/>
    </row>
    <row r="205" spans="1:7" ht="20.100000000000001" customHeight="1" x14ac:dyDescent="0.25">
      <c r="A205" s="98"/>
      <c r="B205" s="137">
        <v>2</v>
      </c>
      <c r="C205" s="138" t="s">
        <v>642</v>
      </c>
      <c r="D205" s="100"/>
      <c r="E205" s="100"/>
      <c r="F205" s="52"/>
      <c r="G205" s="61"/>
    </row>
    <row r="206" spans="1:7" ht="20.100000000000001" customHeight="1" x14ac:dyDescent="0.25">
      <c r="A206" s="98"/>
      <c r="B206" s="137">
        <v>2</v>
      </c>
      <c r="C206" s="138" t="s">
        <v>309</v>
      </c>
      <c r="D206" s="100"/>
      <c r="E206" s="100"/>
      <c r="F206" s="52"/>
      <c r="G206" s="61"/>
    </row>
    <row r="207" spans="1:7" ht="20.100000000000001" customHeight="1" x14ac:dyDescent="0.25">
      <c r="A207" s="98"/>
      <c r="B207" s="137">
        <v>1</v>
      </c>
      <c r="C207" s="138" t="s">
        <v>643</v>
      </c>
      <c r="D207" s="100"/>
      <c r="E207" s="100"/>
      <c r="F207" s="52"/>
      <c r="G207" s="61"/>
    </row>
    <row r="208" spans="1:7" ht="20.100000000000001" customHeight="1" x14ac:dyDescent="0.25">
      <c r="A208" s="98"/>
      <c r="B208" s="137">
        <v>1</v>
      </c>
      <c r="C208" s="138" t="s">
        <v>311</v>
      </c>
      <c r="D208" s="100"/>
      <c r="E208" s="100"/>
      <c r="F208" s="52"/>
      <c r="G208" s="61"/>
    </row>
    <row r="209" spans="1:7" ht="20.100000000000001" customHeight="1" x14ac:dyDescent="0.25">
      <c r="A209" s="98"/>
      <c r="B209" s="137">
        <v>1</v>
      </c>
      <c r="C209" s="138" t="s">
        <v>310</v>
      </c>
      <c r="D209" s="100"/>
      <c r="E209" s="100"/>
      <c r="F209" s="52"/>
      <c r="G209" s="61"/>
    </row>
    <row r="210" spans="1:7" ht="20.100000000000001" customHeight="1" x14ac:dyDescent="0.25">
      <c r="A210" s="98"/>
      <c r="B210" s="137">
        <v>1</v>
      </c>
      <c r="C210" s="138" t="s">
        <v>313</v>
      </c>
      <c r="D210" s="100"/>
      <c r="E210" s="100"/>
      <c r="F210" s="52"/>
      <c r="G210" s="61"/>
    </row>
    <row r="211" spans="1:7" ht="20.100000000000001" customHeight="1" x14ac:dyDescent="0.25">
      <c r="A211" s="98"/>
      <c r="B211" s="137">
        <v>1</v>
      </c>
      <c r="C211" s="138" t="s">
        <v>644</v>
      </c>
      <c r="D211" s="100"/>
      <c r="E211" s="100"/>
      <c r="F211" s="52"/>
      <c r="G211" s="61"/>
    </row>
    <row r="212" spans="1:7" ht="20.100000000000001" customHeight="1" x14ac:dyDescent="0.25">
      <c r="A212" s="98"/>
      <c r="B212" s="137">
        <v>1</v>
      </c>
      <c r="C212" s="138" t="s">
        <v>312</v>
      </c>
      <c r="D212" s="100"/>
      <c r="E212" s="100"/>
      <c r="F212" s="52"/>
      <c r="G212" s="61"/>
    </row>
    <row r="213" spans="1:7" ht="20.100000000000001" customHeight="1" x14ac:dyDescent="0.25">
      <c r="A213" s="98"/>
      <c r="B213" s="137">
        <v>1</v>
      </c>
      <c r="C213" s="138" t="s">
        <v>315</v>
      </c>
      <c r="D213" s="100"/>
      <c r="E213" s="100"/>
      <c r="F213" s="52"/>
      <c r="G213" s="61"/>
    </row>
    <row r="214" spans="1:7" ht="20.100000000000001" customHeight="1" x14ac:dyDescent="0.25">
      <c r="A214" s="98"/>
      <c r="B214" s="137">
        <v>1</v>
      </c>
      <c r="C214" s="138" t="s">
        <v>645</v>
      </c>
      <c r="D214" s="100"/>
      <c r="E214" s="100"/>
      <c r="F214" s="52"/>
      <c r="G214" s="61"/>
    </row>
    <row r="215" spans="1:7" ht="20.100000000000001" customHeight="1" x14ac:dyDescent="0.25">
      <c r="A215" s="98"/>
      <c r="B215" s="137">
        <v>1</v>
      </c>
      <c r="C215" s="138" t="s">
        <v>646</v>
      </c>
      <c r="D215" s="100"/>
      <c r="E215" s="100"/>
      <c r="F215" s="52"/>
      <c r="G215" s="61"/>
    </row>
    <row r="216" spans="1:7" ht="20.100000000000001" customHeight="1" x14ac:dyDescent="0.25">
      <c r="A216" s="98"/>
      <c r="B216" s="135">
        <f>SUM(B200:B215)</f>
        <v>22</v>
      </c>
      <c r="C216" s="138"/>
      <c r="D216" s="100"/>
      <c r="E216" s="100"/>
      <c r="F216" s="52"/>
      <c r="G216" s="61"/>
    </row>
    <row r="217" spans="1:7" ht="20.100000000000001" customHeight="1" x14ac:dyDescent="0.2">
      <c r="A217" s="98"/>
      <c r="B217" s="99"/>
      <c r="C217" s="100"/>
      <c r="D217" s="100"/>
      <c r="E217" s="100"/>
      <c r="F217" s="54"/>
      <c r="G217" s="57"/>
    </row>
    <row r="218" spans="1:7" ht="20.100000000000001" customHeight="1" x14ac:dyDescent="0.2">
      <c r="A218" s="98"/>
      <c r="B218" s="99"/>
      <c r="C218" s="100"/>
      <c r="D218" s="100"/>
      <c r="E218" s="100"/>
      <c r="F218" s="54"/>
      <c r="G218" s="57"/>
    </row>
    <row r="219" spans="1:7" ht="20.100000000000001" customHeight="1" thickBot="1" x14ac:dyDescent="0.3">
      <c r="A219" s="98"/>
      <c r="B219" s="102" t="s">
        <v>316</v>
      </c>
      <c r="C219" s="103"/>
      <c r="D219" s="104"/>
      <c r="E219" s="100"/>
      <c r="F219" s="54"/>
      <c r="G219" s="57"/>
    </row>
    <row r="220" spans="1:7" ht="20.100000000000001" customHeight="1" x14ac:dyDescent="0.25">
      <c r="A220" s="98"/>
      <c r="B220" s="102"/>
      <c r="C220" s="105"/>
      <c r="D220" s="106"/>
      <c r="E220" s="100"/>
      <c r="F220" s="57"/>
      <c r="G220" s="57"/>
    </row>
    <row r="221" spans="1:7" ht="20.100000000000001" customHeight="1" x14ac:dyDescent="0.25">
      <c r="A221" s="98"/>
      <c r="B221" s="102"/>
      <c r="C221" s="105"/>
      <c r="D221" s="106"/>
      <c r="E221" s="100"/>
      <c r="F221"/>
      <c r="G221" s="57"/>
    </row>
    <row r="222" spans="1:7" ht="20.100000000000001" customHeight="1" x14ac:dyDescent="0.25">
      <c r="A222" s="98"/>
      <c r="B222" s="102"/>
      <c r="C222" s="105"/>
      <c r="D222" s="106"/>
      <c r="E222" s="100"/>
    </row>
    <row r="223" spans="1:7" ht="20.100000000000001" customHeight="1" thickBot="1" x14ac:dyDescent="0.3">
      <c r="A223" s="98"/>
      <c r="B223" s="102" t="s">
        <v>317</v>
      </c>
      <c r="C223" s="103"/>
      <c r="D223" s="104"/>
      <c r="E223" s="100"/>
    </row>
    <row r="224" spans="1:7" ht="20.100000000000001" customHeight="1" x14ac:dyDescent="0.25">
      <c r="A224" s="98"/>
      <c r="B224" s="102"/>
      <c r="C224" s="105"/>
      <c r="D224" s="106"/>
      <c r="E224" s="100"/>
    </row>
    <row r="225" spans="1:5" ht="20.100000000000001" customHeight="1" x14ac:dyDescent="0.25">
      <c r="A225" s="98"/>
      <c r="B225" s="107"/>
      <c r="C225" s="63"/>
      <c r="D225"/>
      <c r="E225" s="100"/>
    </row>
    <row r="226" spans="1:5" ht="20.100000000000001" customHeight="1" x14ac:dyDescent="0.25">
      <c r="A226" s="98"/>
      <c r="B226" s="107"/>
      <c r="C226" s="63"/>
      <c r="D226"/>
      <c r="E226" s="100"/>
    </row>
    <row r="227" spans="1:5" ht="20.100000000000001" customHeight="1" thickBot="1" x14ac:dyDescent="0.3">
      <c r="A227" s="98"/>
      <c r="B227" s="102" t="s">
        <v>58</v>
      </c>
      <c r="C227" s="103"/>
      <c r="D227" s="104"/>
      <c r="E227" s="100"/>
    </row>
    <row r="228" spans="1:5" ht="20.100000000000001" customHeight="1" x14ac:dyDescent="0.25">
      <c r="A228" s="98"/>
      <c r="B228" s="102"/>
      <c r="C228" s="105"/>
      <c r="D228" s="106"/>
      <c r="E228" s="100"/>
    </row>
    <row r="229" spans="1:5" ht="20.100000000000001" customHeight="1" x14ac:dyDescent="0.2">
      <c r="A229" s="98"/>
      <c r="B229" s="108"/>
      <c r="C229" s="109"/>
      <c r="D229" s="110"/>
      <c r="E229" s="100"/>
    </row>
    <row r="230" spans="1:5" ht="20.100000000000001" customHeight="1" thickBot="1" x14ac:dyDescent="0.3">
      <c r="A230" s="98"/>
      <c r="B230" s="102" t="s">
        <v>318</v>
      </c>
      <c r="C230" s="103"/>
      <c r="D230" s="104"/>
      <c r="E230" s="100"/>
    </row>
    <row r="231" spans="1:5" ht="20.100000000000001" customHeight="1" x14ac:dyDescent="0.2">
      <c r="A231" s="98"/>
      <c r="B231" s="102"/>
      <c r="C231" s="111"/>
      <c r="D231" s="105"/>
      <c r="E231" s="100"/>
    </row>
    <row r="232" spans="1:5" ht="20.100000000000001" customHeight="1" x14ac:dyDescent="0.2">
      <c r="A232" s="98"/>
      <c r="B232" s="102"/>
      <c r="C232" s="111"/>
      <c r="D232" s="105"/>
      <c r="E232" s="100"/>
    </row>
    <row r="233" spans="1:5" ht="20.100000000000001" customHeight="1" thickBot="1" x14ac:dyDescent="0.25">
      <c r="A233" s="98"/>
      <c r="B233" s="102" t="s">
        <v>18</v>
      </c>
      <c r="C233" s="112"/>
      <c r="D233" s="103"/>
      <c r="E233" s="100"/>
    </row>
    <row r="234" spans="1:5" ht="20.100000000000001" customHeight="1" x14ac:dyDescent="0.2">
      <c r="E234" s="63"/>
    </row>
    <row r="235" spans="1:5" ht="20.100000000000001" customHeight="1" x14ac:dyDescent="0.2">
      <c r="E235" s="63"/>
    </row>
    <row r="236" spans="1:5" ht="20.100000000000001" customHeight="1" x14ac:dyDescent="0.2">
      <c r="E236" s="63"/>
    </row>
    <row r="237" spans="1:5" ht="20.100000000000001" customHeight="1" x14ac:dyDescent="0.2">
      <c r="E237" s="63"/>
    </row>
    <row r="238" spans="1:5" ht="20.100000000000001" customHeight="1" x14ac:dyDescent="0.2">
      <c r="E238" s="63"/>
    </row>
    <row r="239" spans="1:5" ht="20.100000000000001" customHeight="1" x14ac:dyDescent="0.2">
      <c r="E239" s="63"/>
    </row>
    <row r="240" spans="1:5" ht="20.100000000000001" customHeight="1" x14ac:dyDescent="0.2">
      <c r="E240" s="63"/>
    </row>
  </sheetData>
  <customSheetViews>
    <customSheetView guid="{3342B702-8207-4EA1-8384-FAFEA840CE2A}" scale="70" showPageBreaks="1" showGridLines="0" printArea="1">
      <pane xSplit="2" ySplit="5" topLeftCell="C18" activePane="bottomRight" state="frozen"/>
      <selection pane="bottomRight" activeCell="G33" sqref="G33"/>
      <pageMargins left="0.39370078740157483" right="0.39370078740157483" top="0.39370078740157483" bottom="0" header="0.31496062992125984" footer="0.31496062992125984"/>
      <printOptions horizontalCentered="1"/>
      <pageSetup paperSize="9" scale="50" orientation="portrait" r:id="rId1"/>
      <headerFooter>
        <oddFooter>&amp;R&amp;"-,Negrita"&amp;14Pág. &amp;P de &amp;N</oddFooter>
      </headerFooter>
    </customSheetView>
  </customSheetViews>
  <mergeCells count="6">
    <mergeCell ref="B198:C198"/>
    <mergeCell ref="A11:B11"/>
    <mergeCell ref="M5:N6"/>
    <mergeCell ref="D2:E2"/>
    <mergeCell ref="C4:C5"/>
    <mergeCell ref="C2:C3"/>
  </mergeCells>
  <dataValidations count="1">
    <dataValidation allowBlank="1" showInputMessage="1" showErrorMessage="1" errorTitle="EQUIVOCACION" error="Debe seleccionar un registro de la lista" promptTitle="Clientes Ortomax" prompt="Lista de Clientes de Ortomax" sqref="C9" xr:uid="{00000000-0002-0000-0000-000000000000}"/>
  </dataValidations>
  <printOptions horizontalCentered="1"/>
  <pageMargins left="0.16" right="0.39370078740157483" top="0.39370078740157483" bottom="0.41" header="0.31496062992125984" footer="0.3"/>
  <pageSetup paperSize="9" scale="50" orientation="portrait" r:id="rId2"/>
  <headerFooter>
    <oddFooter>&amp;R&amp;"-,Negrita"&amp;14Pág. &amp;P de &amp;N</oddFooter>
  </headerFooter>
  <drawing r:id="rId3"/>
  <legacyDrawing r:id="rId4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11ADEA-9ACF-47D7-B6EC-CAB24F35EED8}">
  <dimension ref="A2:O221"/>
  <sheetViews>
    <sheetView workbookViewId="0">
      <selection sqref="A1:XFD1048576"/>
    </sheetView>
  </sheetViews>
  <sheetFormatPr baseColWidth="10" defaultColWidth="11.42578125" defaultRowHeight="20.100000000000001" customHeight="1" x14ac:dyDescent="0.2"/>
  <cols>
    <col min="1" max="1" width="18.85546875" style="10" customWidth="1"/>
    <col min="2" max="2" width="16" style="35" customWidth="1"/>
    <col min="3" max="3" width="86.7109375" style="34" bestFit="1" customWidth="1"/>
    <col min="4" max="4" width="19.85546875" style="34" customWidth="1"/>
    <col min="5" max="5" width="16.5703125" style="34" customWidth="1"/>
    <col min="6" max="6" width="16.28515625" style="10" customWidth="1"/>
    <col min="7" max="7" width="15.85546875" style="10" customWidth="1"/>
    <col min="8" max="8" width="1.42578125" style="10" customWidth="1"/>
    <col min="9" max="9" width="26.28515625" style="10" customWidth="1"/>
    <col min="10" max="10" width="5.85546875" style="10" customWidth="1"/>
    <col min="11" max="11" width="72.42578125" style="10" bestFit="1" customWidth="1"/>
    <col min="12" max="12" width="11.42578125" style="10"/>
    <col min="13" max="13" width="14.42578125" style="10" bestFit="1" customWidth="1"/>
    <col min="14" max="14" width="50.140625" style="10" bestFit="1" customWidth="1"/>
    <col min="15" max="259" width="11.42578125" style="10"/>
    <col min="260" max="260" width="13.140625" style="10" customWidth="1"/>
    <col min="261" max="261" width="15.140625" style="10" customWidth="1"/>
    <col min="262" max="262" width="42" style="10" customWidth="1"/>
    <col min="263" max="263" width="11.42578125" style="10"/>
    <col min="264" max="264" width="13.140625" style="10" customWidth="1"/>
    <col min="265" max="515" width="11.42578125" style="10"/>
    <col min="516" max="516" width="13.140625" style="10" customWidth="1"/>
    <col min="517" max="517" width="15.140625" style="10" customWidth="1"/>
    <col min="518" max="518" width="42" style="10" customWidth="1"/>
    <col min="519" max="519" width="11.42578125" style="10"/>
    <col min="520" max="520" width="13.140625" style="10" customWidth="1"/>
    <col min="521" max="771" width="11.42578125" style="10"/>
    <col min="772" max="772" width="13.140625" style="10" customWidth="1"/>
    <col min="773" max="773" width="15.140625" style="10" customWidth="1"/>
    <col min="774" max="774" width="42" style="10" customWidth="1"/>
    <col min="775" max="775" width="11.42578125" style="10"/>
    <col min="776" max="776" width="13.140625" style="10" customWidth="1"/>
    <col min="777" max="1027" width="11.42578125" style="10"/>
    <col min="1028" max="1028" width="13.140625" style="10" customWidth="1"/>
    <col min="1029" max="1029" width="15.140625" style="10" customWidth="1"/>
    <col min="1030" max="1030" width="42" style="10" customWidth="1"/>
    <col min="1031" max="1031" width="11.42578125" style="10"/>
    <col min="1032" max="1032" width="13.140625" style="10" customWidth="1"/>
    <col min="1033" max="1283" width="11.42578125" style="10"/>
    <col min="1284" max="1284" width="13.140625" style="10" customWidth="1"/>
    <col min="1285" max="1285" width="15.140625" style="10" customWidth="1"/>
    <col min="1286" max="1286" width="42" style="10" customWidth="1"/>
    <col min="1287" max="1287" width="11.42578125" style="10"/>
    <col min="1288" max="1288" width="13.140625" style="10" customWidth="1"/>
    <col min="1289" max="1539" width="11.42578125" style="10"/>
    <col min="1540" max="1540" width="13.140625" style="10" customWidth="1"/>
    <col min="1541" max="1541" width="15.140625" style="10" customWidth="1"/>
    <col min="1542" max="1542" width="42" style="10" customWidth="1"/>
    <col min="1543" max="1543" width="11.42578125" style="10"/>
    <col min="1544" max="1544" width="13.140625" style="10" customWidth="1"/>
    <col min="1545" max="1795" width="11.42578125" style="10"/>
    <col min="1796" max="1796" width="13.140625" style="10" customWidth="1"/>
    <col min="1797" max="1797" width="15.140625" style="10" customWidth="1"/>
    <col min="1798" max="1798" width="42" style="10" customWidth="1"/>
    <col min="1799" max="1799" width="11.42578125" style="10"/>
    <col min="1800" max="1800" width="13.140625" style="10" customWidth="1"/>
    <col min="1801" max="2051" width="11.42578125" style="10"/>
    <col min="2052" max="2052" width="13.140625" style="10" customWidth="1"/>
    <col min="2053" max="2053" width="15.140625" style="10" customWidth="1"/>
    <col min="2054" max="2054" width="42" style="10" customWidth="1"/>
    <col min="2055" max="2055" width="11.42578125" style="10"/>
    <col min="2056" max="2056" width="13.140625" style="10" customWidth="1"/>
    <col min="2057" max="2307" width="11.42578125" style="10"/>
    <col min="2308" max="2308" width="13.140625" style="10" customWidth="1"/>
    <col min="2309" max="2309" width="15.140625" style="10" customWidth="1"/>
    <col min="2310" max="2310" width="42" style="10" customWidth="1"/>
    <col min="2311" max="2311" width="11.42578125" style="10"/>
    <col min="2312" max="2312" width="13.140625" style="10" customWidth="1"/>
    <col min="2313" max="2563" width="11.42578125" style="10"/>
    <col min="2564" max="2564" width="13.140625" style="10" customWidth="1"/>
    <col min="2565" max="2565" width="15.140625" style="10" customWidth="1"/>
    <col min="2566" max="2566" width="42" style="10" customWidth="1"/>
    <col min="2567" max="2567" width="11.42578125" style="10"/>
    <col min="2568" max="2568" width="13.140625" style="10" customWidth="1"/>
    <col min="2569" max="2819" width="11.42578125" style="10"/>
    <col min="2820" max="2820" width="13.140625" style="10" customWidth="1"/>
    <col min="2821" max="2821" width="15.140625" style="10" customWidth="1"/>
    <col min="2822" max="2822" width="42" style="10" customWidth="1"/>
    <col min="2823" max="2823" width="11.42578125" style="10"/>
    <col min="2824" max="2824" width="13.140625" style="10" customWidth="1"/>
    <col min="2825" max="3075" width="11.42578125" style="10"/>
    <col min="3076" max="3076" width="13.140625" style="10" customWidth="1"/>
    <col min="3077" max="3077" width="15.140625" style="10" customWidth="1"/>
    <col min="3078" max="3078" width="42" style="10" customWidth="1"/>
    <col min="3079" max="3079" width="11.42578125" style="10"/>
    <col min="3080" max="3080" width="13.140625" style="10" customWidth="1"/>
    <col min="3081" max="3331" width="11.42578125" style="10"/>
    <col min="3332" max="3332" width="13.140625" style="10" customWidth="1"/>
    <col min="3333" max="3333" width="15.140625" style="10" customWidth="1"/>
    <col min="3334" max="3334" width="42" style="10" customWidth="1"/>
    <col min="3335" max="3335" width="11.42578125" style="10"/>
    <col min="3336" max="3336" width="13.140625" style="10" customWidth="1"/>
    <col min="3337" max="3587" width="11.42578125" style="10"/>
    <col min="3588" max="3588" width="13.140625" style="10" customWidth="1"/>
    <col min="3589" max="3589" width="15.140625" style="10" customWidth="1"/>
    <col min="3590" max="3590" width="42" style="10" customWidth="1"/>
    <col min="3591" max="3591" width="11.42578125" style="10"/>
    <col min="3592" max="3592" width="13.140625" style="10" customWidth="1"/>
    <col min="3593" max="3843" width="11.42578125" style="10"/>
    <col min="3844" max="3844" width="13.140625" style="10" customWidth="1"/>
    <col min="3845" max="3845" width="15.140625" style="10" customWidth="1"/>
    <col min="3846" max="3846" width="42" style="10" customWidth="1"/>
    <col min="3847" max="3847" width="11.42578125" style="10"/>
    <col min="3848" max="3848" width="13.140625" style="10" customWidth="1"/>
    <col min="3849" max="4099" width="11.42578125" style="10"/>
    <col min="4100" max="4100" width="13.140625" style="10" customWidth="1"/>
    <col min="4101" max="4101" width="15.140625" style="10" customWidth="1"/>
    <col min="4102" max="4102" width="42" style="10" customWidth="1"/>
    <col min="4103" max="4103" width="11.42578125" style="10"/>
    <col min="4104" max="4104" width="13.140625" style="10" customWidth="1"/>
    <col min="4105" max="4355" width="11.42578125" style="10"/>
    <col min="4356" max="4356" width="13.140625" style="10" customWidth="1"/>
    <col min="4357" max="4357" width="15.140625" style="10" customWidth="1"/>
    <col min="4358" max="4358" width="42" style="10" customWidth="1"/>
    <col min="4359" max="4359" width="11.42578125" style="10"/>
    <col min="4360" max="4360" width="13.140625" style="10" customWidth="1"/>
    <col min="4361" max="4611" width="11.42578125" style="10"/>
    <col min="4612" max="4612" width="13.140625" style="10" customWidth="1"/>
    <col min="4613" max="4613" width="15.140625" style="10" customWidth="1"/>
    <col min="4614" max="4614" width="42" style="10" customWidth="1"/>
    <col min="4615" max="4615" width="11.42578125" style="10"/>
    <col min="4616" max="4616" width="13.140625" style="10" customWidth="1"/>
    <col min="4617" max="4867" width="11.42578125" style="10"/>
    <col min="4868" max="4868" width="13.140625" style="10" customWidth="1"/>
    <col min="4869" max="4869" width="15.140625" style="10" customWidth="1"/>
    <col min="4870" max="4870" width="42" style="10" customWidth="1"/>
    <col min="4871" max="4871" width="11.42578125" style="10"/>
    <col min="4872" max="4872" width="13.140625" style="10" customWidth="1"/>
    <col min="4873" max="5123" width="11.42578125" style="10"/>
    <col min="5124" max="5124" width="13.140625" style="10" customWidth="1"/>
    <col min="5125" max="5125" width="15.140625" style="10" customWidth="1"/>
    <col min="5126" max="5126" width="42" style="10" customWidth="1"/>
    <col min="5127" max="5127" width="11.42578125" style="10"/>
    <col min="5128" max="5128" width="13.140625" style="10" customWidth="1"/>
    <col min="5129" max="5379" width="11.42578125" style="10"/>
    <col min="5380" max="5380" width="13.140625" style="10" customWidth="1"/>
    <col min="5381" max="5381" width="15.140625" style="10" customWidth="1"/>
    <col min="5382" max="5382" width="42" style="10" customWidth="1"/>
    <col min="5383" max="5383" width="11.42578125" style="10"/>
    <col min="5384" max="5384" width="13.140625" style="10" customWidth="1"/>
    <col min="5385" max="5635" width="11.42578125" style="10"/>
    <col min="5636" max="5636" width="13.140625" style="10" customWidth="1"/>
    <col min="5637" max="5637" width="15.140625" style="10" customWidth="1"/>
    <col min="5638" max="5638" width="42" style="10" customWidth="1"/>
    <col min="5639" max="5639" width="11.42578125" style="10"/>
    <col min="5640" max="5640" width="13.140625" style="10" customWidth="1"/>
    <col min="5641" max="5891" width="11.42578125" style="10"/>
    <col min="5892" max="5892" width="13.140625" style="10" customWidth="1"/>
    <col min="5893" max="5893" width="15.140625" style="10" customWidth="1"/>
    <col min="5894" max="5894" width="42" style="10" customWidth="1"/>
    <col min="5895" max="5895" width="11.42578125" style="10"/>
    <col min="5896" max="5896" width="13.140625" style="10" customWidth="1"/>
    <col min="5897" max="6147" width="11.42578125" style="10"/>
    <col min="6148" max="6148" width="13.140625" style="10" customWidth="1"/>
    <col min="6149" max="6149" width="15.140625" style="10" customWidth="1"/>
    <col min="6150" max="6150" width="42" style="10" customWidth="1"/>
    <col min="6151" max="6151" width="11.42578125" style="10"/>
    <col min="6152" max="6152" width="13.140625" style="10" customWidth="1"/>
    <col min="6153" max="6403" width="11.42578125" style="10"/>
    <col min="6404" max="6404" width="13.140625" style="10" customWidth="1"/>
    <col min="6405" max="6405" width="15.140625" style="10" customWidth="1"/>
    <col min="6406" max="6406" width="42" style="10" customWidth="1"/>
    <col min="6407" max="6407" width="11.42578125" style="10"/>
    <col min="6408" max="6408" width="13.140625" style="10" customWidth="1"/>
    <col min="6409" max="6659" width="11.42578125" style="10"/>
    <col min="6660" max="6660" width="13.140625" style="10" customWidth="1"/>
    <col min="6661" max="6661" width="15.140625" style="10" customWidth="1"/>
    <col min="6662" max="6662" width="42" style="10" customWidth="1"/>
    <col min="6663" max="6663" width="11.42578125" style="10"/>
    <col min="6664" max="6664" width="13.140625" style="10" customWidth="1"/>
    <col min="6665" max="6915" width="11.42578125" style="10"/>
    <col min="6916" max="6916" width="13.140625" style="10" customWidth="1"/>
    <col min="6917" max="6917" width="15.140625" style="10" customWidth="1"/>
    <col min="6918" max="6918" width="42" style="10" customWidth="1"/>
    <col min="6919" max="6919" width="11.42578125" style="10"/>
    <col min="6920" max="6920" width="13.140625" style="10" customWidth="1"/>
    <col min="6921" max="7171" width="11.42578125" style="10"/>
    <col min="7172" max="7172" width="13.140625" style="10" customWidth="1"/>
    <col min="7173" max="7173" width="15.140625" style="10" customWidth="1"/>
    <col min="7174" max="7174" width="42" style="10" customWidth="1"/>
    <col min="7175" max="7175" width="11.42578125" style="10"/>
    <col min="7176" max="7176" width="13.140625" style="10" customWidth="1"/>
    <col min="7177" max="7427" width="11.42578125" style="10"/>
    <col min="7428" max="7428" width="13.140625" style="10" customWidth="1"/>
    <col min="7429" max="7429" width="15.140625" style="10" customWidth="1"/>
    <col min="7430" max="7430" width="42" style="10" customWidth="1"/>
    <col min="7431" max="7431" width="11.42578125" style="10"/>
    <col min="7432" max="7432" width="13.140625" style="10" customWidth="1"/>
    <col min="7433" max="7683" width="11.42578125" style="10"/>
    <col min="7684" max="7684" width="13.140625" style="10" customWidth="1"/>
    <col min="7685" max="7685" width="15.140625" style="10" customWidth="1"/>
    <col min="7686" max="7686" width="42" style="10" customWidth="1"/>
    <col min="7687" max="7687" width="11.42578125" style="10"/>
    <col min="7688" max="7688" width="13.140625" style="10" customWidth="1"/>
    <col min="7689" max="7939" width="11.42578125" style="10"/>
    <col min="7940" max="7940" width="13.140625" style="10" customWidth="1"/>
    <col min="7941" max="7941" width="15.140625" style="10" customWidth="1"/>
    <col min="7942" max="7942" width="42" style="10" customWidth="1"/>
    <col min="7943" max="7943" width="11.42578125" style="10"/>
    <col min="7944" max="7944" width="13.140625" style="10" customWidth="1"/>
    <col min="7945" max="8195" width="11.42578125" style="10"/>
    <col min="8196" max="8196" width="13.140625" style="10" customWidth="1"/>
    <col min="8197" max="8197" width="15.140625" style="10" customWidth="1"/>
    <col min="8198" max="8198" width="42" style="10" customWidth="1"/>
    <col min="8199" max="8199" width="11.42578125" style="10"/>
    <col min="8200" max="8200" width="13.140625" style="10" customWidth="1"/>
    <col min="8201" max="8451" width="11.42578125" style="10"/>
    <col min="8452" max="8452" width="13.140625" style="10" customWidth="1"/>
    <col min="8453" max="8453" width="15.140625" style="10" customWidth="1"/>
    <col min="8454" max="8454" width="42" style="10" customWidth="1"/>
    <col min="8455" max="8455" width="11.42578125" style="10"/>
    <col min="8456" max="8456" width="13.140625" style="10" customWidth="1"/>
    <col min="8457" max="8707" width="11.42578125" style="10"/>
    <col min="8708" max="8708" width="13.140625" style="10" customWidth="1"/>
    <col min="8709" max="8709" width="15.140625" style="10" customWidth="1"/>
    <col min="8710" max="8710" width="42" style="10" customWidth="1"/>
    <col min="8711" max="8711" width="11.42578125" style="10"/>
    <col min="8712" max="8712" width="13.140625" style="10" customWidth="1"/>
    <col min="8713" max="8963" width="11.42578125" style="10"/>
    <col min="8964" max="8964" width="13.140625" style="10" customWidth="1"/>
    <col min="8965" max="8965" width="15.140625" style="10" customWidth="1"/>
    <col min="8966" max="8966" width="42" style="10" customWidth="1"/>
    <col min="8967" max="8967" width="11.42578125" style="10"/>
    <col min="8968" max="8968" width="13.140625" style="10" customWidth="1"/>
    <col min="8969" max="9219" width="11.42578125" style="10"/>
    <col min="9220" max="9220" width="13.140625" style="10" customWidth="1"/>
    <col min="9221" max="9221" width="15.140625" style="10" customWidth="1"/>
    <col min="9222" max="9222" width="42" style="10" customWidth="1"/>
    <col min="9223" max="9223" width="11.42578125" style="10"/>
    <col min="9224" max="9224" width="13.140625" style="10" customWidth="1"/>
    <col min="9225" max="9475" width="11.42578125" style="10"/>
    <col min="9476" max="9476" width="13.140625" style="10" customWidth="1"/>
    <col min="9477" max="9477" width="15.140625" style="10" customWidth="1"/>
    <col min="9478" max="9478" width="42" style="10" customWidth="1"/>
    <col min="9479" max="9479" width="11.42578125" style="10"/>
    <col min="9480" max="9480" width="13.140625" style="10" customWidth="1"/>
    <col min="9481" max="9731" width="11.42578125" style="10"/>
    <col min="9732" max="9732" width="13.140625" style="10" customWidth="1"/>
    <col min="9733" max="9733" width="15.140625" style="10" customWidth="1"/>
    <col min="9734" max="9734" width="42" style="10" customWidth="1"/>
    <col min="9735" max="9735" width="11.42578125" style="10"/>
    <col min="9736" max="9736" width="13.140625" style="10" customWidth="1"/>
    <col min="9737" max="9987" width="11.42578125" style="10"/>
    <col min="9988" max="9988" width="13.140625" style="10" customWidth="1"/>
    <col min="9989" max="9989" width="15.140625" style="10" customWidth="1"/>
    <col min="9990" max="9990" width="42" style="10" customWidth="1"/>
    <col min="9991" max="9991" width="11.42578125" style="10"/>
    <col min="9992" max="9992" width="13.140625" style="10" customWidth="1"/>
    <col min="9993" max="10243" width="11.42578125" style="10"/>
    <col min="10244" max="10244" width="13.140625" style="10" customWidth="1"/>
    <col min="10245" max="10245" width="15.140625" style="10" customWidth="1"/>
    <col min="10246" max="10246" width="42" style="10" customWidth="1"/>
    <col min="10247" max="10247" width="11.42578125" style="10"/>
    <col min="10248" max="10248" width="13.140625" style="10" customWidth="1"/>
    <col min="10249" max="10499" width="11.42578125" style="10"/>
    <col min="10500" max="10500" width="13.140625" style="10" customWidth="1"/>
    <col min="10501" max="10501" width="15.140625" style="10" customWidth="1"/>
    <col min="10502" max="10502" width="42" style="10" customWidth="1"/>
    <col min="10503" max="10503" width="11.42578125" style="10"/>
    <col min="10504" max="10504" width="13.140625" style="10" customWidth="1"/>
    <col min="10505" max="10755" width="11.42578125" style="10"/>
    <col min="10756" max="10756" width="13.140625" style="10" customWidth="1"/>
    <col min="10757" max="10757" width="15.140625" style="10" customWidth="1"/>
    <col min="10758" max="10758" width="42" style="10" customWidth="1"/>
    <col min="10759" max="10759" width="11.42578125" style="10"/>
    <col min="10760" max="10760" width="13.140625" style="10" customWidth="1"/>
    <col min="10761" max="11011" width="11.42578125" style="10"/>
    <col min="11012" max="11012" width="13.140625" style="10" customWidth="1"/>
    <col min="11013" max="11013" width="15.140625" style="10" customWidth="1"/>
    <col min="11014" max="11014" width="42" style="10" customWidth="1"/>
    <col min="11015" max="11015" width="11.42578125" style="10"/>
    <col min="11016" max="11016" width="13.140625" style="10" customWidth="1"/>
    <col min="11017" max="11267" width="11.42578125" style="10"/>
    <col min="11268" max="11268" width="13.140625" style="10" customWidth="1"/>
    <col min="11269" max="11269" width="15.140625" style="10" customWidth="1"/>
    <col min="11270" max="11270" width="42" style="10" customWidth="1"/>
    <col min="11271" max="11271" width="11.42578125" style="10"/>
    <col min="11272" max="11272" width="13.140625" style="10" customWidth="1"/>
    <col min="11273" max="11523" width="11.42578125" style="10"/>
    <col min="11524" max="11524" width="13.140625" style="10" customWidth="1"/>
    <col min="11525" max="11525" width="15.140625" style="10" customWidth="1"/>
    <col min="11526" max="11526" width="42" style="10" customWidth="1"/>
    <col min="11527" max="11527" width="11.42578125" style="10"/>
    <col min="11528" max="11528" width="13.140625" style="10" customWidth="1"/>
    <col min="11529" max="11779" width="11.42578125" style="10"/>
    <col min="11780" max="11780" width="13.140625" style="10" customWidth="1"/>
    <col min="11781" max="11781" width="15.140625" style="10" customWidth="1"/>
    <col min="11782" max="11782" width="42" style="10" customWidth="1"/>
    <col min="11783" max="11783" width="11.42578125" style="10"/>
    <col min="11784" max="11784" width="13.140625" style="10" customWidth="1"/>
    <col min="11785" max="12035" width="11.42578125" style="10"/>
    <col min="12036" max="12036" width="13.140625" style="10" customWidth="1"/>
    <col min="12037" max="12037" width="15.140625" style="10" customWidth="1"/>
    <col min="12038" max="12038" width="42" style="10" customWidth="1"/>
    <col min="12039" max="12039" width="11.42578125" style="10"/>
    <col min="12040" max="12040" width="13.140625" style="10" customWidth="1"/>
    <col min="12041" max="12291" width="11.42578125" style="10"/>
    <col min="12292" max="12292" width="13.140625" style="10" customWidth="1"/>
    <col min="12293" max="12293" width="15.140625" style="10" customWidth="1"/>
    <col min="12294" max="12294" width="42" style="10" customWidth="1"/>
    <col min="12295" max="12295" width="11.42578125" style="10"/>
    <col min="12296" max="12296" width="13.140625" style="10" customWidth="1"/>
    <col min="12297" max="12547" width="11.42578125" style="10"/>
    <col min="12548" max="12548" width="13.140625" style="10" customWidth="1"/>
    <col min="12549" max="12549" width="15.140625" style="10" customWidth="1"/>
    <col min="12550" max="12550" width="42" style="10" customWidth="1"/>
    <col min="12551" max="12551" width="11.42578125" style="10"/>
    <col min="12552" max="12552" width="13.140625" style="10" customWidth="1"/>
    <col min="12553" max="12803" width="11.42578125" style="10"/>
    <col min="12804" max="12804" width="13.140625" style="10" customWidth="1"/>
    <col min="12805" max="12805" width="15.140625" style="10" customWidth="1"/>
    <col min="12806" max="12806" width="42" style="10" customWidth="1"/>
    <col min="12807" max="12807" width="11.42578125" style="10"/>
    <col min="12808" max="12808" width="13.140625" style="10" customWidth="1"/>
    <col min="12809" max="13059" width="11.42578125" style="10"/>
    <col min="13060" max="13060" width="13.140625" style="10" customWidth="1"/>
    <col min="13061" max="13061" width="15.140625" style="10" customWidth="1"/>
    <col min="13062" max="13062" width="42" style="10" customWidth="1"/>
    <col min="13063" max="13063" width="11.42578125" style="10"/>
    <col min="13064" max="13064" width="13.140625" style="10" customWidth="1"/>
    <col min="13065" max="13315" width="11.42578125" style="10"/>
    <col min="13316" max="13316" width="13.140625" style="10" customWidth="1"/>
    <col min="13317" max="13317" width="15.140625" style="10" customWidth="1"/>
    <col min="13318" max="13318" width="42" style="10" customWidth="1"/>
    <col min="13319" max="13319" width="11.42578125" style="10"/>
    <col min="13320" max="13320" width="13.140625" style="10" customWidth="1"/>
    <col min="13321" max="13571" width="11.42578125" style="10"/>
    <col min="13572" max="13572" width="13.140625" style="10" customWidth="1"/>
    <col min="13573" max="13573" width="15.140625" style="10" customWidth="1"/>
    <col min="13574" max="13574" width="42" style="10" customWidth="1"/>
    <col min="13575" max="13575" width="11.42578125" style="10"/>
    <col min="13576" max="13576" width="13.140625" style="10" customWidth="1"/>
    <col min="13577" max="13827" width="11.42578125" style="10"/>
    <col min="13828" max="13828" width="13.140625" style="10" customWidth="1"/>
    <col min="13829" max="13829" width="15.140625" style="10" customWidth="1"/>
    <col min="13830" max="13830" width="42" style="10" customWidth="1"/>
    <col min="13831" max="13831" width="11.42578125" style="10"/>
    <col min="13832" max="13832" width="13.140625" style="10" customWidth="1"/>
    <col min="13833" max="14083" width="11.42578125" style="10"/>
    <col min="14084" max="14084" width="13.140625" style="10" customWidth="1"/>
    <col min="14085" max="14085" width="15.140625" style="10" customWidth="1"/>
    <col min="14086" max="14086" width="42" style="10" customWidth="1"/>
    <col min="14087" max="14087" width="11.42578125" style="10"/>
    <col min="14088" max="14088" width="13.140625" style="10" customWidth="1"/>
    <col min="14089" max="14339" width="11.42578125" style="10"/>
    <col min="14340" max="14340" width="13.140625" style="10" customWidth="1"/>
    <col min="14341" max="14341" width="15.140625" style="10" customWidth="1"/>
    <col min="14342" max="14342" width="42" style="10" customWidth="1"/>
    <col min="14343" max="14343" width="11.42578125" style="10"/>
    <col min="14344" max="14344" width="13.140625" style="10" customWidth="1"/>
    <col min="14345" max="14595" width="11.42578125" style="10"/>
    <col min="14596" max="14596" width="13.140625" style="10" customWidth="1"/>
    <col min="14597" max="14597" width="15.140625" style="10" customWidth="1"/>
    <col min="14598" max="14598" width="42" style="10" customWidth="1"/>
    <col min="14599" max="14599" width="11.42578125" style="10"/>
    <col min="14600" max="14600" width="13.140625" style="10" customWidth="1"/>
    <col min="14601" max="14851" width="11.42578125" style="10"/>
    <col min="14852" max="14852" width="13.140625" style="10" customWidth="1"/>
    <col min="14853" max="14853" width="15.140625" style="10" customWidth="1"/>
    <col min="14854" max="14854" width="42" style="10" customWidth="1"/>
    <col min="14855" max="14855" width="11.42578125" style="10"/>
    <col min="14856" max="14856" width="13.140625" style="10" customWidth="1"/>
    <col min="14857" max="15107" width="11.42578125" style="10"/>
    <col min="15108" max="15108" width="13.140625" style="10" customWidth="1"/>
    <col min="15109" max="15109" width="15.140625" style="10" customWidth="1"/>
    <col min="15110" max="15110" width="42" style="10" customWidth="1"/>
    <col min="15111" max="15111" width="11.42578125" style="10"/>
    <col min="15112" max="15112" width="13.140625" style="10" customWidth="1"/>
    <col min="15113" max="15363" width="11.42578125" style="10"/>
    <col min="15364" max="15364" width="13.140625" style="10" customWidth="1"/>
    <col min="15365" max="15365" width="15.140625" style="10" customWidth="1"/>
    <col min="15366" max="15366" width="42" style="10" customWidth="1"/>
    <col min="15367" max="15367" width="11.42578125" style="10"/>
    <col min="15368" max="15368" width="13.140625" style="10" customWidth="1"/>
    <col min="15369" max="15619" width="11.42578125" style="10"/>
    <col min="15620" max="15620" width="13.140625" style="10" customWidth="1"/>
    <col min="15621" max="15621" width="15.140625" style="10" customWidth="1"/>
    <col min="15622" max="15622" width="42" style="10" customWidth="1"/>
    <col min="15623" max="15623" width="11.42578125" style="10"/>
    <col min="15624" max="15624" width="13.140625" style="10" customWidth="1"/>
    <col min="15625" max="15875" width="11.42578125" style="10"/>
    <col min="15876" max="15876" width="13.140625" style="10" customWidth="1"/>
    <col min="15877" max="15877" width="15.140625" style="10" customWidth="1"/>
    <col min="15878" max="15878" width="42" style="10" customWidth="1"/>
    <col min="15879" max="15879" width="11.42578125" style="10"/>
    <col min="15880" max="15880" width="13.140625" style="10" customWidth="1"/>
    <col min="15881" max="16131" width="11.42578125" style="10"/>
    <col min="16132" max="16132" width="13.140625" style="10" customWidth="1"/>
    <col min="16133" max="16133" width="15.140625" style="10" customWidth="1"/>
    <col min="16134" max="16134" width="42" style="10" customWidth="1"/>
    <col min="16135" max="16135" width="11.42578125" style="10"/>
    <col min="16136" max="16136" width="13.140625" style="10" customWidth="1"/>
    <col min="16137" max="16384" width="11.42578125" style="10"/>
  </cols>
  <sheetData>
    <row r="2" spans="1:15" s="6" customFormat="1" ht="20.100000000000001" customHeight="1" x14ac:dyDescent="0.25">
      <c r="A2" s="1"/>
      <c r="B2" s="2"/>
      <c r="C2" s="124" t="s">
        <v>24</v>
      </c>
      <c r="D2" s="122" t="s">
        <v>23</v>
      </c>
      <c r="E2" s="122"/>
      <c r="F2" s="3"/>
      <c r="G2" s="3"/>
      <c r="H2" s="3"/>
      <c r="I2" s="3"/>
      <c r="J2" s="3"/>
      <c r="K2" s="4"/>
      <c r="L2" s="5"/>
    </row>
    <row r="3" spans="1:15" s="6" customFormat="1" ht="20.100000000000001" customHeight="1" x14ac:dyDescent="0.25">
      <c r="A3" s="7"/>
      <c r="B3" s="8"/>
      <c r="C3" s="124"/>
      <c r="D3" s="9" t="s">
        <v>26</v>
      </c>
      <c r="E3" s="9"/>
      <c r="F3" s="3"/>
      <c r="G3" s="10"/>
      <c r="H3" s="10"/>
      <c r="I3" s="10"/>
      <c r="J3" s="10"/>
      <c r="K3" s="10"/>
      <c r="L3" s="5"/>
    </row>
    <row r="4" spans="1:15" s="6" customFormat="1" ht="29.25" customHeight="1" x14ac:dyDescent="0.25">
      <c r="A4" s="7"/>
      <c r="B4" s="8"/>
      <c r="C4" s="123" t="s">
        <v>25</v>
      </c>
      <c r="D4" s="9" t="s">
        <v>30</v>
      </c>
      <c r="E4" s="11">
        <v>44979</v>
      </c>
      <c r="F4" s="3"/>
      <c r="G4" s="10"/>
      <c r="H4" s="10"/>
      <c r="I4" s="12">
        <v>62</v>
      </c>
      <c r="J4" s="10"/>
      <c r="K4" s="10"/>
      <c r="L4" s="5"/>
    </row>
    <row r="5" spans="1:15" s="6" customFormat="1" ht="27.75" customHeight="1" x14ac:dyDescent="0.35">
      <c r="A5" s="13"/>
      <c r="B5" s="14"/>
      <c r="C5" s="123"/>
      <c r="D5" s="9" t="s">
        <v>31</v>
      </c>
      <c r="E5" s="11">
        <v>46075</v>
      </c>
      <c r="F5" s="15"/>
      <c r="G5" s="10"/>
      <c r="H5" s="10"/>
      <c r="I5" s="10"/>
      <c r="J5" s="10"/>
      <c r="K5" s="10"/>
      <c r="L5" s="15"/>
      <c r="M5" s="121"/>
      <c r="N5" s="121"/>
      <c r="O5" s="10"/>
    </row>
    <row r="6" spans="1:15" ht="20.100000000000001" customHeight="1" x14ac:dyDescent="0.25">
      <c r="A6" s="17"/>
      <c r="B6" s="17"/>
      <c r="C6" s="17"/>
      <c r="D6" s="17"/>
      <c r="E6" s="17"/>
      <c r="M6" s="121"/>
      <c r="N6" s="121"/>
    </row>
    <row r="7" spans="1:15" ht="20.100000000000001" customHeight="1" x14ac:dyDescent="0.2">
      <c r="A7" s="18" t="s">
        <v>0</v>
      </c>
      <c r="B7" s="18"/>
      <c r="C7" s="24">
        <v>45042</v>
      </c>
      <c r="D7" s="18" t="s">
        <v>1</v>
      </c>
      <c r="E7" s="19">
        <v>20230400465</v>
      </c>
      <c r="M7" s="16"/>
      <c r="N7" s="16"/>
    </row>
    <row r="8" spans="1:15" ht="9.75" customHeight="1" x14ac:dyDescent="0.25">
      <c r="A8" s="20"/>
      <c r="B8" s="20"/>
      <c r="C8" s="20"/>
      <c r="D8" s="20"/>
      <c r="E8" s="20"/>
      <c r="M8" s="16"/>
      <c r="N8" s="16"/>
    </row>
    <row r="9" spans="1:15" ht="20.100000000000001" customHeight="1" x14ac:dyDescent="0.2">
      <c r="A9" s="18" t="s">
        <v>2</v>
      </c>
      <c r="B9" s="18"/>
      <c r="C9" s="69" t="s">
        <v>59</v>
      </c>
      <c r="D9" s="21" t="s">
        <v>3</v>
      </c>
      <c r="E9" s="70">
        <v>20230200079</v>
      </c>
      <c r="M9" s="16"/>
      <c r="N9" s="16"/>
    </row>
    <row r="10" spans="1:15" ht="9" customHeight="1" x14ac:dyDescent="0.25">
      <c r="A10" s="20"/>
      <c r="B10" s="20"/>
      <c r="C10" s="67"/>
      <c r="D10" s="20"/>
      <c r="E10" s="20"/>
      <c r="M10" s="16"/>
      <c r="N10" s="16"/>
    </row>
    <row r="11" spans="1:15" ht="20.100000000000001" customHeight="1" x14ac:dyDescent="0.2">
      <c r="A11" s="119" t="s">
        <v>21</v>
      </c>
      <c r="B11" s="120"/>
      <c r="C11" s="69" t="s">
        <v>59</v>
      </c>
      <c r="D11" s="21" t="s">
        <v>22</v>
      </c>
      <c r="E11" s="23" t="s">
        <v>28</v>
      </c>
      <c r="M11" s="16"/>
      <c r="N11" s="16"/>
    </row>
    <row r="12" spans="1:15" ht="9.75" customHeight="1" x14ac:dyDescent="0.25">
      <c r="A12" s="20"/>
      <c r="B12" s="20"/>
      <c r="C12" s="67"/>
      <c r="D12" s="20"/>
      <c r="E12" s="20"/>
      <c r="M12" s="16"/>
      <c r="N12" s="16"/>
    </row>
    <row r="13" spans="1:15" ht="20.100000000000001" customHeight="1" x14ac:dyDescent="0.2">
      <c r="A13" s="18" t="s">
        <v>4</v>
      </c>
      <c r="B13" s="18"/>
      <c r="C13" s="68" t="s">
        <v>60</v>
      </c>
      <c r="D13" s="21" t="s">
        <v>5</v>
      </c>
      <c r="E13" s="22" t="s">
        <v>27</v>
      </c>
      <c r="M13" s="16"/>
      <c r="N13" s="16"/>
    </row>
    <row r="14" spans="1:15" ht="11.25" customHeight="1" x14ac:dyDescent="0.25">
      <c r="A14" s="20"/>
      <c r="B14" s="20"/>
      <c r="C14" s="20"/>
      <c r="D14" s="20"/>
      <c r="E14" s="20"/>
      <c r="M14" s="16"/>
      <c r="N14" s="16"/>
    </row>
    <row r="15" spans="1:15" ht="20.100000000000001" customHeight="1" x14ac:dyDescent="0.2">
      <c r="A15" s="18" t="s">
        <v>6</v>
      </c>
      <c r="B15" s="18"/>
      <c r="C15" s="24">
        <v>45043</v>
      </c>
      <c r="D15" s="21" t="s">
        <v>7</v>
      </c>
      <c r="E15" s="25" t="s">
        <v>62</v>
      </c>
      <c r="M15" s="16"/>
      <c r="N15" s="16"/>
    </row>
    <row r="16" spans="1:15" ht="9" customHeight="1" x14ac:dyDescent="0.25">
      <c r="A16" s="20"/>
      <c r="B16" s="20"/>
      <c r="C16" s="20"/>
      <c r="D16" s="20"/>
      <c r="E16" s="20"/>
      <c r="M16" s="16"/>
      <c r="N16" s="16"/>
    </row>
    <row r="17" spans="1:14" ht="20.100000000000001" customHeight="1" x14ac:dyDescent="0.2">
      <c r="A17" s="18" t="s">
        <v>8</v>
      </c>
      <c r="B17" s="18"/>
      <c r="C17" s="22" t="s">
        <v>61</v>
      </c>
      <c r="D17" s="26"/>
      <c r="E17" s="27"/>
      <c r="M17" s="16"/>
      <c r="N17" s="16"/>
    </row>
    <row r="18" spans="1:14" ht="11.25" customHeight="1" x14ac:dyDescent="0.25">
      <c r="A18" s="20"/>
      <c r="B18" s="20"/>
      <c r="C18" s="20"/>
      <c r="D18" s="20"/>
      <c r="E18" s="20"/>
      <c r="M18" s="16"/>
      <c r="N18" s="16"/>
    </row>
    <row r="19" spans="1:14" ht="20.100000000000001" customHeight="1" x14ac:dyDescent="0.2">
      <c r="A19" s="18" t="s">
        <v>9</v>
      </c>
      <c r="B19" s="18"/>
      <c r="C19" s="22" t="s">
        <v>63</v>
      </c>
      <c r="D19" s="21" t="s">
        <v>19</v>
      </c>
      <c r="E19" s="25" t="s">
        <v>289</v>
      </c>
      <c r="M19" s="16"/>
      <c r="N19" s="16"/>
    </row>
    <row r="20" spans="1:14" ht="12" customHeight="1" x14ac:dyDescent="0.25">
      <c r="A20" s="20"/>
      <c r="B20" s="20"/>
      <c r="C20" s="20"/>
      <c r="D20" s="20"/>
      <c r="E20" s="20"/>
      <c r="M20" s="16"/>
      <c r="N20" s="16"/>
    </row>
    <row r="21" spans="1:14" ht="20.100000000000001" customHeight="1" x14ac:dyDescent="0.2">
      <c r="A21" s="18" t="s">
        <v>20</v>
      </c>
      <c r="B21" s="18"/>
      <c r="C21" s="28"/>
      <c r="D21" s="29"/>
      <c r="E21" s="30"/>
      <c r="M21" s="16"/>
      <c r="N21" s="16"/>
    </row>
    <row r="22" spans="1:14" ht="11.25" customHeight="1" x14ac:dyDescent="0.2">
      <c r="A22" s="31"/>
      <c r="B22" s="32"/>
      <c r="C22" s="31"/>
      <c r="D22" s="31"/>
      <c r="E22" s="31"/>
      <c r="G22" s="33"/>
      <c r="H22" s="33"/>
    </row>
    <row r="23" spans="1:14" ht="35.25" customHeight="1" x14ac:dyDescent="0.25">
      <c r="A23" s="37" t="s">
        <v>10</v>
      </c>
      <c r="B23" s="38" t="s">
        <v>11</v>
      </c>
      <c r="C23" s="38" t="s">
        <v>12</v>
      </c>
      <c r="D23" s="38" t="s">
        <v>13</v>
      </c>
      <c r="E23" s="38" t="s">
        <v>14</v>
      </c>
      <c r="F23" s="39" t="s">
        <v>32</v>
      </c>
      <c r="G23" s="40" t="s">
        <v>33</v>
      </c>
    </row>
    <row r="24" spans="1:14" ht="20.100000000000001" customHeight="1" x14ac:dyDescent="0.2">
      <c r="A24" s="71" t="s">
        <v>64</v>
      </c>
      <c r="B24" s="71">
        <v>200718103</v>
      </c>
      <c r="C24" s="72" t="s">
        <v>65</v>
      </c>
      <c r="D24" s="73">
        <v>1</v>
      </c>
      <c r="E24" s="41"/>
      <c r="F24" s="42">
        <v>10</v>
      </c>
      <c r="G24" s="42">
        <v>10</v>
      </c>
    </row>
    <row r="25" spans="1:14" ht="20.100000000000001" customHeight="1" x14ac:dyDescent="0.2">
      <c r="A25" s="74" t="s">
        <v>66</v>
      </c>
      <c r="B25" s="74" t="s">
        <v>67</v>
      </c>
      <c r="C25" s="75" t="s">
        <v>68</v>
      </c>
      <c r="D25" s="73">
        <v>1</v>
      </c>
      <c r="E25" s="41"/>
      <c r="F25" s="42">
        <v>10</v>
      </c>
      <c r="G25" s="42">
        <v>10</v>
      </c>
    </row>
    <row r="26" spans="1:14" ht="20.100000000000001" customHeight="1" x14ac:dyDescent="0.2">
      <c r="A26" s="71" t="s">
        <v>69</v>
      </c>
      <c r="B26" s="71" t="s">
        <v>70</v>
      </c>
      <c r="C26" s="72" t="s">
        <v>71</v>
      </c>
      <c r="D26" s="73">
        <v>1</v>
      </c>
      <c r="E26" s="41"/>
      <c r="F26" s="42">
        <v>10</v>
      </c>
      <c r="G26" s="42">
        <v>20</v>
      </c>
    </row>
    <row r="27" spans="1:14" ht="20.100000000000001" customHeight="1" x14ac:dyDescent="0.2">
      <c r="A27" s="74" t="s">
        <v>72</v>
      </c>
      <c r="B27" s="74">
        <v>200718202</v>
      </c>
      <c r="C27" s="75" t="s">
        <v>73</v>
      </c>
      <c r="D27" s="73">
        <v>1</v>
      </c>
      <c r="E27" s="41"/>
      <c r="F27" s="42">
        <v>10</v>
      </c>
      <c r="G27" s="42">
        <v>10</v>
      </c>
    </row>
    <row r="28" spans="1:14" ht="20.100000000000001" customHeight="1" x14ac:dyDescent="0.2">
      <c r="A28" s="71" t="s">
        <v>74</v>
      </c>
      <c r="B28" s="71" t="s">
        <v>75</v>
      </c>
      <c r="C28" s="72" t="s">
        <v>76</v>
      </c>
      <c r="D28" s="73">
        <v>1</v>
      </c>
      <c r="E28" s="41"/>
      <c r="F28" s="42">
        <v>10</v>
      </c>
      <c r="G28" s="42">
        <v>50</v>
      </c>
    </row>
    <row r="29" spans="1:14" ht="20.100000000000001" customHeight="1" x14ac:dyDescent="0.2">
      <c r="A29" s="74" t="s">
        <v>77</v>
      </c>
      <c r="B29" s="74">
        <v>1710071821</v>
      </c>
      <c r="C29" s="75" t="s">
        <v>78</v>
      </c>
      <c r="D29" s="73">
        <v>1</v>
      </c>
      <c r="E29" s="41"/>
      <c r="F29" s="42">
        <v>10</v>
      </c>
      <c r="G29" s="42">
        <v>10</v>
      </c>
    </row>
    <row r="30" spans="1:14" ht="20.100000000000001" customHeight="1" x14ac:dyDescent="0.2">
      <c r="A30" s="71" t="s">
        <v>79</v>
      </c>
      <c r="B30" s="71" t="s">
        <v>80</v>
      </c>
      <c r="C30" s="72" t="s">
        <v>81</v>
      </c>
      <c r="D30" s="73">
        <v>1</v>
      </c>
      <c r="E30" s="43"/>
      <c r="F30" s="42">
        <v>10</v>
      </c>
      <c r="G30" s="42">
        <v>10</v>
      </c>
    </row>
    <row r="31" spans="1:14" ht="20.100000000000001" customHeight="1" x14ac:dyDescent="0.2">
      <c r="A31" s="74" t="s">
        <v>82</v>
      </c>
      <c r="B31" s="74">
        <v>190718302</v>
      </c>
      <c r="C31" s="75" t="s">
        <v>83</v>
      </c>
      <c r="D31" s="73">
        <v>1</v>
      </c>
      <c r="E31" s="43"/>
      <c r="F31" s="42">
        <v>10</v>
      </c>
      <c r="G31" s="42">
        <v>20</v>
      </c>
    </row>
    <row r="32" spans="1:14" ht="20.100000000000001" customHeight="1" x14ac:dyDescent="0.2">
      <c r="A32" s="71" t="s">
        <v>84</v>
      </c>
      <c r="B32" s="71">
        <v>1708071836</v>
      </c>
      <c r="C32" s="72" t="s">
        <v>85</v>
      </c>
      <c r="D32" s="73">
        <v>1</v>
      </c>
      <c r="E32" s="43"/>
      <c r="F32" s="42">
        <v>10</v>
      </c>
      <c r="G32" s="42">
        <v>10</v>
      </c>
    </row>
    <row r="33" spans="1:7" ht="20.100000000000001" customHeight="1" x14ac:dyDescent="0.2">
      <c r="A33" s="74" t="s">
        <v>86</v>
      </c>
      <c r="B33" s="74">
        <v>180718401</v>
      </c>
      <c r="C33" s="75" t="s">
        <v>87</v>
      </c>
      <c r="D33" s="73">
        <v>1</v>
      </c>
      <c r="E33" s="43"/>
      <c r="F33" s="42">
        <v>10</v>
      </c>
      <c r="G33" s="42">
        <v>50</v>
      </c>
    </row>
    <row r="34" spans="1:7" ht="20.100000000000001" customHeight="1" x14ac:dyDescent="0.2">
      <c r="A34" s="71" t="s">
        <v>88</v>
      </c>
      <c r="B34" s="71">
        <v>200718404</v>
      </c>
      <c r="C34" s="72" t="s">
        <v>89</v>
      </c>
      <c r="D34" s="73">
        <v>1</v>
      </c>
      <c r="E34" s="43"/>
      <c r="F34" s="42">
        <v>10</v>
      </c>
      <c r="G34" s="42">
        <v>20</v>
      </c>
    </row>
    <row r="35" spans="1:7" ht="20.100000000000001" customHeight="1" x14ac:dyDescent="0.2">
      <c r="A35" s="74" t="s">
        <v>90</v>
      </c>
      <c r="B35" s="74" t="s">
        <v>91</v>
      </c>
      <c r="C35" s="75" t="s">
        <v>92</v>
      </c>
      <c r="D35" s="73">
        <v>1</v>
      </c>
      <c r="E35" s="43"/>
      <c r="F35" s="42">
        <v>10</v>
      </c>
      <c r="G35" s="42">
        <v>20</v>
      </c>
    </row>
    <row r="36" spans="1:7" ht="20.100000000000001" customHeight="1" x14ac:dyDescent="0.25">
      <c r="A36" s="74"/>
      <c r="B36" s="74"/>
      <c r="C36" s="75"/>
      <c r="D36" s="76">
        <v>12</v>
      </c>
      <c r="E36" s="43"/>
      <c r="F36" s="42">
        <v>10</v>
      </c>
      <c r="G36" s="42">
        <v>20</v>
      </c>
    </row>
    <row r="37" spans="1:7" ht="20.100000000000001" customHeight="1" x14ac:dyDescent="0.2">
      <c r="A37" s="71" t="s">
        <v>93</v>
      </c>
      <c r="B37" s="71">
        <v>200718510</v>
      </c>
      <c r="C37" s="72" t="s">
        <v>94</v>
      </c>
      <c r="D37" s="73">
        <v>1</v>
      </c>
      <c r="E37" s="43"/>
      <c r="F37" s="42">
        <v>10</v>
      </c>
      <c r="G37" s="42">
        <v>20</v>
      </c>
    </row>
    <row r="38" spans="1:7" ht="20.100000000000001" customHeight="1" x14ac:dyDescent="0.2">
      <c r="A38" s="74" t="s">
        <v>95</v>
      </c>
      <c r="B38" s="74">
        <v>1710071858</v>
      </c>
      <c r="C38" s="75" t="s">
        <v>96</v>
      </c>
      <c r="D38" s="73">
        <v>1</v>
      </c>
      <c r="E38" s="43"/>
      <c r="F38" s="42">
        <v>10</v>
      </c>
      <c r="G38" s="42">
        <v>10</v>
      </c>
    </row>
    <row r="39" spans="1:7" ht="20.100000000000001" customHeight="1" x14ac:dyDescent="0.2">
      <c r="A39" s="71" t="s">
        <v>97</v>
      </c>
      <c r="B39" s="71">
        <v>2103443</v>
      </c>
      <c r="C39" s="72" t="s">
        <v>98</v>
      </c>
      <c r="D39" s="73">
        <v>1</v>
      </c>
      <c r="E39" s="43"/>
      <c r="F39" s="42">
        <v>10</v>
      </c>
      <c r="G39" s="42">
        <v>10</v>
      </c>
    </row>
    <row r="40" spans="1:7" ht="20.100000000000001" customHeight="1" x14ac:dyDescent="0.2">
      <c r="A40" s="74" t="s">
        <v>99</v>
      </c>
      <c r="B40" s="74">
        <v>2103521</v>
      </c>
      <c r="C40" s="75" t="s">
        <v>100</v>
      </c>
      <c r="D40" s="73">
        <v>1</v>
      </c>
      <c r="E40" s="43"/>
      <c r="F40" s="42">
        <v>10</v>
      </c>
      <c r="G40" s="42">
        <v>100</v>
      </c>
    </row>
    <row r="41" spans="1:7" ht="20.100000000000001" customHeight="1" x14ac:dyDescent="0.2">
      <c r="A41" s="71" t="s">
        <v>101</v>
      </c>
      <c r="B41" s="71">
        <v>1411071854</v>
      </c>
      <c r="C41" s="72" t="s">
        <v>102</v>
      </c>
      <c r="D41" s="73">
        <v>1</v>
      </c>
      <c r="E41" s="43"/>
      <c r="F41" s="42">
        <v>10</v>
      </c>
      <c r="G41" s="42">
        <v>20</v>
      </c>
    </row>
    <row r="42" spans="1:7" ht="20.100000000000001" customHeight="1" x14ac:dyDescent="0.2">
      <c r="A42" s="74" t="s">
        <v>103</v>
      </c>
      <c r="B42" s="74" t="s">
        <v>104</v>
      </c>
      <c r="C42" s="75" t="s">
        <v>105</v>
      </c>
      <c r="D42" s="73">
        <v>1</v>
      </c>
      <c r="E42" s="44"/>
      <c r="F42" s="42">
        <v>10</v>
      </c>
      <c r="G42" s="42">
        <v>10</v>
      </c>
    </row>
    <row r="43" spans="1:7" ht="20.100000000000001" customHeight="1" x14ac:dyDescent="0.2">
      <c r="A43" s="71" t="s">
        <v>106</v>
      </c>
      <c r="B43" s="71">
        <v>200718508</v>
      </c>
      <c r="C43" s="72" t="s">
        <v>107</v>
      </c>
      <c r="D43" s="73">
        <v>1</v>
      </c>
      <c r="E43" s="45"/>
      <c r="F43" s="42">
        <v>10</v>
      </c>
      <c r="G43" s="42">
        <v>20</v>
      </c>
    </row>
    <row r="44" spans="1:7" ht="20.100000000000001" customHeight="1" x14ac:dyDescent="0.2">
      <c r="A44" s="74" t="s">
        <v>108</v>
      </c>
      <c r="B44" s="74">
        <v>200718511</v>
      </c>
      <c r="C44" s="75" t="s">
        <v>109</v>
      </c>
      <c r="D44" s="73">
        <v>1</v>
      </c>
      <c r="E44" s="45"/>
      <c r="F44" s="42">
        <v>10</v>
      </c>
      <c r="G44" s="42">
        <v>20</v>
      </c>
    </row>
    <row r="45" spans="1:7" ht="20.100000000000001" customHeight="1" x14ac:dyDescent="0.25">
      <c r="A45" s="74"/>
      <c r="B45" s="74"/>
      <c r="C45" s="75"/>
      <c r="D45" s="76">
        <v>8</v>
      </c>
      <c r="E45" s="45"/>
      <c r="F45" s="42">
        <v>10</v>
      </c>
      <c r="G45" s="42">
        <v>10</v>
      </c>
    </row>
    <row r="46" spans="1:7" ht="20.100000000000001" customHeight="1" x14ac:dyDescent="0.2">
      <c r="A46" s="71" t="s">
        <v>110</v>
      </c>
      <c r="B46" s="71">
        <v>200718611</v>
      </c>
      <c r="C46" s="72" t="s">
        <v>111</v>
      </c>
      <c r="D46" s="73">
        <v>1</v>
      </c>
      <c r="E46" s="45"/>
      <c r="F46" s="42">
        <v>10</v>
      </c>
      <c r="G46" s="42">
        <v>10</v>
      </c>
    </row>
    <row r="47" spans="1:7" ht="20.100000000000001" customHeight="1" x14ac:dyDescent="0.2">
      <c r="A47" s="74" t="s">
        <v>112</v>
      </c>
      <c r="B47" s="74">
        <v>180718601</v>
      </c>
      <c r="C47" s="75" t="s">
        <v>113</v>
      </c>
      <c r="D47" s="73">
        <v>1</v>
      </c>
      <c r="E47" s="45"/>
      <c r="F47" s="42">
        <v>10</v>
      </c>
      <c r="G47" s="42">
        <v>90</v>
      </c>
    </row>
    <row r="48" spans="1:7" ht="20.100000000000001" customHeight="1" x14ac:dyDescent="0.2">
      <c r="A48" s="71" t="s">
        <v>114</v>
      </c>
      <c r="B48" s="71">
        <v>180718601</v>
      </c>
      <c r="C48" s="72" t="s">
        <v>115</v>
      </c>
      <c r="D48" s="73">
        <v>1</v>
      </c>
      <c r="E48" s="45"/>
      <c r="F48" s="42"/>
      <c r="G48" s="42"/>
    </row>
    <row r="49" spans="1:7" ht="20.100000000000001" customHeight="1" x14ac:dyDescent="0.2">
      <c r="A49" s="74" t="s">
        <v>116</v>
      </c>
      <c r="B49" s="74">
        <v>190718601</v>
      </c>
      <c r="C49" s="75" t="s">
        <v>117</v>
      </c>
      <c r="D49" s="73">
        <v>1</v>
      </c>
      <c r="E49" s="45"/>
      <c r="F49" s="42">
        <v>10</v>
      </c>
      <c r="G49" s="42">
        <v>10</v>
      </c>
    </row>
    <row r="50" spans="1:7" ht="20.100000000000001" customHeight="1" x14ac:dyDescent="0.2">
      <c r="A50" s="71" t="s">
        <v>118</v>
      </c>
      <c r="B50" s="71">
        <v>190718604</v>
      </c>
      <c r="C50" s="72" t="s">
        <v>119</v>
      </c>
      <c r="D50" s="73">
        <v>1</v>
      </c>
      <c r="E50" s="45"/>
      <c r="F50" s="42">
        <v>10</v>
      </c>
      <c r="G50" s="42">
        <v>10</v>
      </c>
    </row>
    <row r="51" spans="1:7" ht="20.100000000000001" customHeight="1" x14ac:dyDescent="0.2">
      <c r="A51" s="74" t="s">
        <v>120</v>
      </c>
      <c r="B51" s="74">
        <v>190718605</v>
      </c>
      <c r="C51" s="75" t="s">
        <v>121</v>
      </c>
      <c r="D51" s="73">
        <v>1</v>
      </c>
      <c r="E51" s="45"/>
      <c r="F51" s="42">
        <v>10</v>
      </c>
      <c r="G51" s="42">
        <v>10</v>
      </c>
    </row>
    <row r="52" spans="1:7" ht="20.100000000000001" customHeight="1" x14ac:dyDescent="0.2">
      <c r="A52" s="71" t="s">
        <v>122</v>
      </c>
      <c r="B52" s="71">
        <v>200718606</v>
      </c>
      <c r="C52" s="72" t="s">
        <v>123</v>
      </c>
      <c r="D52" s="73">
        <v>1</v>
      </c>
      <c r="E52" s="46"/>
      <c r="F52" s="42">
        <v>10</v>
      </c>
      <c r="G52" s="42">
        <v>0</v>
      </c>
    </row>
    <row r="53" spans="1:7" ht="20.100000000000001" customHeight="1" x14ac:dyDescent="0.2">
      <c r="A53" s="74" t="s">
        <v>124</v>
      </c>
      <c r="B53" s="74">
        <v>200718609</v>
      </c>
      <c r="C53" s="75" t="s">
        <v>125</v>
      </c>
      <c r="D53" s="73">
        <v>1</v>
      </c>
      <c r="E53" s="46"/>
      <c r="F53" s="42">
        <v>10</v>
      </c>
      <c r="G53" s="42">
        <v>10</v>
      </c>
    </row>
    <row r="54" spans="1:7" ht="20.100000000000001" customHeight="1" x14ac:dyDescent="0.25">
      <c r="A54" s="77"/>
      <c r="B54" s="74"/>
      <c r="C54" s="75"/>
      <c r="D54" s="76">
        <v>8</v>
      </c>
      <c r="E54" s="46"/>
      <c r="F54" s="42">
        <v>10</v>
      </c>
      <c r="G54" s="42">
        <v>10</v>
      </c>
    </row>
    <row r="55" spans="1:7" ht="20.100000000000001" customHeight="1" x14ac:dyDescent="0.2">
      <c r="A55" s="71" t="s">
        <v>126</v>
      </c>
      <c r="B55" s="71">
        <v>200718705</v>
      </c>
      <c r="C55" s="72" t="s">
        <v>127</v>
      </c>
      <c r="D55" s="73">
        <v>1</v>
      </c>
      <c r="E55" s="46"/>
      <c r="F55" s="42">
        <v>10</v>
      </c>
      <c r="G55" s="42">
        <v>10</v>
      </c>
    </row>
    <row r="56" spans="1:7" ht="20.100000000000001" customHeight="1" x14ac:dyDescent="0.2">
      <c r="A56" s="74" t="s">
        <v>128</v>
      </c>
      <c r="B56" s="74">
        <v>200718705</v>
      </c>
      <c r="C56" s="75" t="s">
        <v>129</v>
      </c>
      <c r="D56" s="73">
        <v>1</v>
      </c>
      <c r="E56" s="46"/>
      <c r="F56" s="42">
        <v>10</v>
      </c>
      <c r="G56" s="42">
        <v>70</v>
      </c>
    </row>
    <row r="57" spans="1:7" ht="20.100000000000001" customHeight="1" x14ac:dyDescent="0.2">
      <c r="A57" s="71" t="s">
        <v>130</v>
      </c>
      <c r="B57" s="71">
        <v>200718707</v>
      </c>
      <c r="C57" s="72" t="s">
        <v>131</v>
      </c>
      <c r="D57" s="73">
        <v>1</v>
      </c>
      <c r="E57" s="46"/>
      <c r="F57" s="42">
        <v>10</v>
      </c>
      <c r="G57" s="42">
        <v>10</v>
      </c>
    </row>
    <row r="58" spans="1:7" ht="20.100000000000001" customHeight="1" x14ac:dyDescent="0.2">
      <c r="A58" s="74" t="s">
        <v>132</v>
      </c>
      <c r="B58" s="74">
        <v>190718703</v>
      </c>
      <c r="C58" s="75" t="s">
        <v>133</v>
      </c>
      <c r="D58" s="73">
        <v>1</v>
      </c>
      <c r="E58" s="46"/>
      <c r="F58" s="42">
        <v>10</v>
      </c>
      <c r="G58" s="42">
        <v>10</v>
      </c>
    </row>
    <row r="59" spans="1:7" ht="20.100000000000001" customHeight="1" x14ac:dyDescent="0.2">
      <c r="A59" s="78" t="s">
        <v>134</v>
      </c>
      <c r="B59" s="71">
        <v>190718704</v>
      </c>
      <c r="C59" s="72" t="s">
        <v>135</v>
      </c>
      <c r="D59" s="73">
        <v>1</v>
      </c>
      <c r="E59" s="46"/>
      <c r="F59" s="42">
        <v>10</v>
      </c>
      <c r="G59" s="42">
        <v>10</v>
      </c>
    </row>
    <row r="60" spans="1:7" ht="20.100000000000001" customHeight="1" x14ac:dyDescent="0.2">
      <c r="A60" s="79" t="s">
        <v>136</v>
      </c>
      <c r="B60" s="74">
        <v>1703071871</v>
      </c>
      <c r="C60" s="75" t="s">
        <v>137</v>
      </c>
      <c r="D60" s="73">
        <v>1</v>
      </c>
      <c r="E60" s="46"/>
      <c r="F60" s="42">
        <v>10</v>
      </c>
      <c r="G60" s="42">
        <v>10</v>
      </c>
    </row>
    <row r="61" spans="1:7" ht="20.100000000000001" customHeight="1" x14ac:dyDescent="0.2">
      <c r="A61" s="78" t="s">
        <v>138</v>
      </c>
      <c r="B61" s="71">
        <v>200718709</v>
      </c>
      <c r="C61" s="72" t="s">
        <v>139</v>
      </c>
      <c r="D61" s="73">
        <v>1</v>
      </c>
      <c r="E61" s="46"/>
      <c r="F61" s="42">
        <v>10</v>
      </c>
      <c r="G61" s="42">
        <v>10</v>
      </c>
    </row>
    <row r="62" spans="1:7" ht="20.100000000000001" customHeight="1" x14ac:dyDescent="0.2">
      <c r="A62" s="79" t="s">
        <v>140</v>
      </c>
      <c r="B62" s="74">
        <v>200718706</v>
      </c>
      <c r="C62" s="75" t="s">
        <v>141</v>
      </c>
      <c r="D62" s="73">
        <v>1</v>
      </c>
      <c r="E62" s="46"/>
      <c r="F62" s="42">
        <v>10</v>
      </c>
      <c r="G62" s="42">
        <v>10</v>
      </c>
    </row>
    <row r="63" spans="1:7" ht="20.100000000000001" customHeight="1" x14ac:dyDescent="0.25">
      <c r="A63" s="74"/>
      <c r="B63" s="74"/>
      <c r="C63" s="75"/>
      <c r="D63" s="76">
        <v>8</v>
      </c>
      <c r="E63" s="46"/>
      <c r="F63" s="42">
        <v>10</v>
      </c>
      <c r="G63" s="42">
        <v>60</v>
      </c>
    </row>
    <row r="64" spans="1:7" ht="20.100000000000001" customHeight="1" x14ac:dyDescent="0.2">
      <c r="A64" s="71" t="s">
        <v>142</v>
      </c>
      <c r="B64" s="71">
        <v>200718802</v>
      </c>
      <c r="C64" s="72" t="s">
        <v>143</v>
      </c>
      <c r="D64" s="73">
        <v>1</v>
      </c>
      <c r="E64" s="46"/>
      <c r="F64" s="42">
        <v>10</v>
      </c>
      <c r="G64" s="42">
        <v>10</v>
      </c>
    </row>
    <row r="65" spans="1:7" ht="20.100000000000001" customHeight="1" x14ac:dyDescent="0.2">
      <c r="A65" s="74" t="s">
        <v>144</v>
      </c>
      <c r="B65" s="74">
        <v>200718804</v>
      </c>
      <c r="C65" s="75" t="s">
        <v>145</v>
      </c>
      <c r="D65" s="73">
        <v>1</v>
      </c>
      <c r="E65" s="46"/>
      <c r="F65" s="42">
        <v>10</v>
      </c>
      <c r="G65" s="42">
        <v>10</v>
      </c>
    </row>
    <row r="66" spans="1:7" ht="20.100000000000001" customHeight="1" x14ac:dyDescent="0.2">
      <c r="A66" s="71" t="s">
        <v>146</v>
      </c>
      <c r="B66" s="71">
        <v>200718803</v>
      </c>
      <c r="C66" s="72" t="s">
        <v>147</v>
      </c>
      <c r="D66" s="73">
        <v>1</v>
      </c>
      <c r="E66" s="46"/>
      <c r="F66" s="42">
        <v>10</v>
      </c>
      <c r="G66" s="42">
        <v>10</v>
      </c>
    </row>
    <row r="67" spans="1:7" ht="20.100000000000001" customHeight="1" x14ac:dyDescent="0.2">
      <c r="A67" s="74" t="s">
        <v>148</v>
      </c>
      <c r="B67" s="74">
        <v>200718805</v>
      </c>
      <c r="C67" s="75" t="s">
        <v>149</v>
      </c>
      <c r="D67" s="73">
        <v>1</v>
      </c>
      <c r="E67" s="46"/>
      <c r="F67" s="42">
        <v>10</v>
      </c>
      <c r="G67" s="42">
        <v>10</v>
      </c>
    </row>
    <row r="68" spans="1:7" ht="20.100000000000001" customHeight="1" x14ac:dyDescent="0.2">
      <c r="A68" s="71" t="s">
        <v>150</v>
      </c>
      <c r="B68" s="71">
        <v>200718804</v>
      </c>
      <c r="C68" s="72" t="s">
        <v>151</v>
      </c>
      <c r="D68" s="73">
        <v>1</v>
      </c>
      <c r="E68" s="46"/>
      <c r="F68" s="42">
        <v>10</v>
      </c>
      <c r="G68" s="42">
        <v>40</v>
      </c>
    </row>
    <row r="69" spans="1:7" ht="20.100000000000001" customHeight="1" x14ac:dyDescent="0.2">
      <c r="A69" s="74" t="s">
        <v>152</v>
      </c>
      <c r="B69" s="74">
        <v>200718812</v>
      </c>
      <c r="C69" s="75" t="s">
        <v>153</v>
      </c>
      <c r="D69" s="73">
        <v>1</v>
      </c>
      <c r="E69" s="46"/>
      <c r="F69" s="42">
        <v>10</v>
      </c>
      <c r="G69" s="42">
        <v>0</v>
      </c>
    </row>
    <row r="70" spans="1:7" ht="20.100000000000001" customHeight="1" x14ac:dyDescent="0.2">
      <c r="A70" s="71" t="s">
        <v>154</v>
      </c>
      <c r="B70" s="71">
        <v>200718809</v>
      </c>
      <c r="C70" s="72" t="s">
        <v>155</v>
      </c>
      <c r="D70" s="73">
        <v>1</v>
      </c>
      <c r="E70" s="46"/>
      <c r="F70" s="42">
        <v>10</v>
      </c>
      <c r="G70" s="42">
        <v>10</v>
      </c>
    </row>
    <row r="71" spans="1:7" ht="20.100000000000001" customHeight="1" x14ac:dyDescent="0.2">
      <c r="A71" s="74" t="s">
        <v>156</v>
      </c>
      <c r="B71" s="74">
        <v>200718811</v>
      </c>
      <c r="C71" s="75" t="s">
        <v>157</v>
      </c>
      <c r="D71" s="73">
        <v>1</v>
      </c>
      <c r="E71" s="46"/>
      <c r="F71" s="42">
        <v>10</v>
      </c>
      <c r="G71" s="42">
        <v>10</v>
      </c>
    </row>
    <row r="72" spans="1:7" ht="20.100000000000001" customHeight="1" x14ac:dyDescent="0.25">
      <c r="A72" s="80"/>
      <c r="B72" s="80"/>
      <c r="C72" s="81"/>
      <c r="D72" s="76">
        <v>8</v>
      </c>
      <c r="E72" s="46"/>
      <c r="F72" s="42">
        <v>10</v>
      </c>
      <c r="G72" s="42">
        <v>0</v>
      </c>
    </row>
    <row r="73" spans="1:7" ht="20.100000000000001" customHeight="1" x14ac:dyDescent="0.2">
      <c r="A73" s="71" t="s">
        <v>158</v>
      </c>
      <c r="B73" s="71" t="s">
        <v>159</v>
      </c>
      <c r="C73" s="82" t="s">
        <v>160</v>
      </c>
      <c r="D73" s="73">
        <v>1</v>
      </c>
      <c r="E73" s="46"/>
      <c r="F73" s="42">
        <v>10</v>
      </c>
      <c r="G73" s="42">
        <v>10</v>
      </c>
    </row>
    <row r="74" spans="1:7" ht="20.100000000000001" customHeight="1" x14ac:dyDescent="0.2">
      <c r="A74" s="74" t="s">
        <v>161</v>
      </c>
      <c r="B74" s="74" t="s">
        <v>162</v>
      </c>
      <c r="C74" s="83" t="s">
        <v>163</v>
      </c>
      <c r="D74" s="73">
        <v>1</v>
      </c>
      <c r="E74" s="46"/>
      <c r="F74" s="42"/>
      <c r="G74" s="42"/>
    </row>
    <row r="75" spans="1:7" ht="20.100000000000001" customHeight="1" x14ac:dyDescent="0.2">
      <c r="A75" s="71" t="s">
        <v>164</v>
      </c>
      <c r="B75" s="71" t="s">
        <v>165</v>
      </c>
      <c r="C75" s="82" t="s">
        <v>166</v>
      </c>
      <c r="D75" s="73">
        <v>1</v>
      </c>
      <c r="E75" s="46"/>
      <c r="F75" s="42">
        <v>10</v>
      </c>
      <c r="G75" s="42">
        <v>40</v>
      </c>
    </row>
    <row r="76" spans="1:7" ht="20.100000000000001" customHeight="1" x14ac:dyDescent="0.2">
      <c r="A76" s="74" t="s">
        <v>167</v>
      </c>
      <c r="B76" s="74" t="s">
        <v>168</v>
      </c>
      <c r="C76" s="83" t="s">
        <v>169</v>
      </c>
      <c r="D76" s="73">
        <v>1</v>
      </c>
      <c r="E76" s="46"/>
      <c r="F76" s="42">
        <v>10</v>
      </c>
      <c r="G76" s="42">
        <v>20</v>
      </c>
    </row>
    <row r="77" spans="1:7" ht="20.100000000000001" customHeight="1" x14ac:dyDescent="0.2">
      <c r="A77" s="71" t="s">
        <v>170</v>
      </c>
      <c r="B77" s="71" t="s">
        <v>171</v>
      </c>
      <c r="C77" s="82" t="s">
        <v>172</v>
      </c>
      <c r="D77" s="73">
        <v>1</v>
      </c>
      <c r="E77" s="47"/>
      <c r="F77" s="60">
        <v>10</v>
      </c>
      <c r="G77" s="42">
        <v>20</v>
      </c>
    </row>
    <row r="78" spans="1:7" ht="20.100000000000001" customHeight="1" x14ac:dyDescent="0.2">
      <c r="A78" s="74" t="s">
        <v>173</v>
      </c>
      <c r="B78" s="74" t="s">
        <v>174</v>
      </c>
      <c r="C78" s="83" t="s">
        <v>175</v>
      </c>
      <c r="D78" s="73">
        <v>0</v>
      </c>
      <c r="E78" s="47"/>
      <c r="F78" s="60">
        <v>10</v>
      </c>
      <c r="G78" s="42">
        <v>20</v>
      </c>
    </row>
    <row r="79" spans="1:7" ht="20.100000000000001" customHeight="1" x14ac:dyDescent="0.2">
      <c r="A79" s="71" t="s">
        <v>176</v>
      </c>
      <c r="B79" s="71" t="s">
        <v>177</v>
      </c>
      <c r="C79" s="82" t="s">
        <v>178</v>
      </c>
      <c r="D79" s="73">
        <v>1</v>
      </c>
      <c r="E79" s="47"/>
      <c r="F79" s="60">
        <v>10</v>
      </c>
      <c r="G79" s="42">
        <v>20</v>
      </c>
    </row>
    <row r="80" spans="1:7" ht="20.100000000000001" customHeight="1" x14ac:dyDescent="0.2">
      <c r="A80" s="74" t="s">
        <v>179</v>
      </c>
      <c r="B80" s="74" t="s">
        <v>177</v>
      </c>
      <c r="C80" s="83" t="s">
        <v>180</v>
      </c>
      <c r="D80" s="73">
        <v>1</v>
      </c>
      <c r="E80" s="47"/>
      <c r="F80" s="60">
        <v>10</v>
      </c>
      <c r="G80" s="42">
        <v>20</v>
      </c>
    </row>
    <row r="81" spans="1:7" ht="20.100000000000001" customHeight="1" x14ac:dyDescent="0.2">
      <c r="A81" s="71" t="s">
        <v>181</v>
      </c>
      <c r="B81" s="71" t="s">
        <v>182</v>
      </c>
      <c r="C81" s="82" t="s">
        <v>183</v>
      </c>
      <c r="D81" s="73">
        <v>1</v>
      </c>
      <c r="E81" s="47"/>
      <c r="F81" s="60">
        <v>10</v>
      </c>
      <c r="G81" s="42">
        <v>20</v>
      </c>
    </row>
    <row r="82" spans="1:7" ht="20.100000000000001" customHeight="1" x14ac:dyDescent="0.2">
      <c r="A82" s="74" t="s">
        <v>184</v>
      </c>
      <c r="B82" s="74" t="s">
        <v>185</v>
      </c>
      <c r="C82" s="83" t="s">
        <v>186</v>
      </c>
      <c r="D82" s="73">
        <v>1</v>
      </c>
      <c r="E82" s="47"/>
      <c r="F82" s="60">
        <v>10</v>
      </c>
      <c r="G82" s="42">
        <v>20</v>
      </c>
    </row>
    <row r="83" spans="1:7" ht="20.100000000000001" customHeight="1" x14ac:dyDescent="0.25">
      <c r="A83" s="80"/>
      <c r="B83" s="80"/>
      <c r="C83" s="81"/>
      <c r="D83" s="76">
        <v>9</v>
      </c>
      <c r="E83" s="47"/>
      <c r="F83" s="60">
        <v>10</v>
      </c>
      <c r="G83" s="42">
        <v>20</v>
      </c>
    </row>
    <row r="84" spans="1:7" ht="20.100000000000001" customHeight="1" x14ac:dyDescent="0.2">
      <c r="A84" s="74" t="s">
        <v>187</v>
      </c>
      <c r="B84" s="74" t="s">
        <v>188</v>
      </c>
      <c r="C84" s="83" t="s">
        <v>189</v>
      </c>
      <c r="D84" s="73">
        <v>2</v>
      </c>
      <c r="E84" s="47"/>
      <c r="F84" s="60"/>
      <c r="G84" s="42"/>
    </row>
    <row r="85" spans="1:7" ht="20.100000000000001" customHeight="1" x14ac:dyDescent="0.2">
      <c r="A85" s="71" t="s">
        <v>190</v>
      </c>
      <c r="B85" s="71" t="s">
        <v>191</v>
      </c>
      <c r="C85" s="82" t="s">
        <v>192</v>
      </c>
      <c r="D85" s="73">
        <v>2</v>
      </c>
      <c r="E85" s="47"/>
      <c r="F85" s="60">
        <v>10</v>
      </c>
      <c r="G85" s="42">
        <v>20</v>
      </c>
    </row>
    <row r="86" spans="1:7" ht="20.100000000000001" customHeight="1" x14ac:dyDescent="0.2">
      <c r="A86" s="74" t="s">
        <v>193</v>
      </c>
      <c r="B86" s="74" t="s">
        <v>194</v>
      </c>
      <c r="C86" s="83" t="s">
        <v>195</v>
      </c>
      <c r="D86" s="73">
        <v>1</v>
      </c>
      <c r="E86" s="47"/>
      <c r="F86" s="60"/>
      <c r="G86" s="42"/>
    </row>
    <row r="87" spans="1:7" ht="20.100000000000001" customHeight="1" x14ac:dyDescent="0.2">
      <c r="A87" s="74" t="s">
        <v>193</v>
      </c>
      <c r="B87" s="74" t="s">
        <v>191</v>
      </c>
      <c r="C87" s="83" t="s">
        <v>195</v>
      </c>
      <c r="D87" s="73">
        <v>1</v>
      </c>
      <c r="E87" s="47"/>
      <c r="F87" s="60"/>
      <c r="G87" s="42"/>
    </row>
    <row r="88" spans="1:7" ht="20.100000000000001" customHeight="1" x14ac:dyDescent="0.2">
      <c r="A88" s="71" t="s">
        <v>196</v>
      </c>
      <c r="B88" s="71" t="s">
        <v>197</v>
      </c>
      <c r="C88" s="82" t="s">
        <v>198</v>
      </c>
      <c r="D88" s="73">
        <v>2</v>
      </c>
      <c r="E88" s="47"/>
      <c r="F88" s="60"/>
      <c r="G88" s="42"/>
    </row>
    <row r="89" spans="1:7" ht="20.100000000000001" customHeight="1" x14ac:dyDescent="0.2">
      <c r="A89" s="74" t="s">
        <v>199</v>
      </c>
      <c r="B89" s="74" t="s">
        <v>200</v>
      </c>
      <c r="C89" s="83" t="s">
        <v>201</v>
      </c>
      <c r="D89" s="73">
        <v>2</v>
      </c>
      <c r="E89" s="47"/>
      <c r="F89" s="60"/>
      <c r="G89" s="42"/>
    </row>
    <row r="90" spans="1:7" ht="20.100000000000001" customHeight="1" x14ac:dyDescent="0.2">
      <c r="A90" s="71" t="s">
        <v>202</v>
      </c>
      <c r="B90" s="71" t="s">
        <v>203</v>
      </c>
      <c r="C90" s="82" t="s">
        <v>189</v>
      </c>
      <c r="D90" s="73">
        <v>2</v>
      </c>
      <c r="E90" s="47"/>
      <c r="F90" s="60"/>
      <c r="G90" s="42"/>
    </row>
    <row r="91" spans="1:7" ht="20.100000000000001" customHeight="1" x14ac:dyDescent="0.2">
      <c r="A91" s="74" t="s">
        <v>204</v>
      </c>
      <c r="B91" s="74" t="s">
        <v>203</v>
      </c>
      <c r="C91" s="83" t="s">
        <v>205</v>
      </c>
      <c r="D91" s="73">
        <v>2</v>
      </c>
      <c r="E91" s="47"/>
      <c r="F91" s="60"/>
      <c r="G91" s="42"/>
    </row>
    <row r="92" spans="1:7" ht="20.100000000000001" customHeight="1" x14ac:dyDescent="0.2">
      <c r="A92" s="71" t="s">
        <v>206</v>
      </c>
      <c r="B92" s="71" t="s">
        <v>207</v>
      </c>
      <c r="C92" s="82" t="s">
        <v>189</v>
      </c>
      <c r="D92" s="73">
        <v>2</v>
      </c>
      <c r="E92" s="47"/>
      <c r="F92" s="60"/>
      <c r="G92" s="42"/>
    </row>
    <row r="93" spans="1:7" ht="20.100000000000001" customHeight="1" x14ac:dyDescent="0.2">
      <c r="A93" s="74" t="s">
        <v>208</v>
      </c>
      <c r="B93" s="74" t="s">
        <v>209</v>
      </c>
      <c r="C93" s="83" t="s">
        <v>210</v>
      </c>
      <c r="D93" s="73">
        <v>2</v>
      </c>
      <c r="E93" s="47"/>
      <c r="F93" s="60"/>
      <c r="G93" s="42"/>
    </row>
    <row r="94" spans="1:7" ht="20.100000000000001" customHeight="1" x14ac:dyDescent="0.2">
      <c r="A94" s="71" t="s">
        <v>211</v>
      </c>
      <c r="B94" s="71" t="s">
        <v>212</v>
      </c>
      <c r="C94" s="82" t="s">
        <v>213</v>
      </c>
      <c r="D94" s="73">
        <v>2</v>
      </c>
      <c r="E94" s="47"/>
      <c r="F94" s="60"/>
      <c r="G94" s="42"/>
    </row>
    <row r="95" spans="1:7" ht="20.100000000000001" customHeight="1" x14ac:dyDescent="0.2">
      <c r="A95" s="74" t="s">
        <v>214</v>
      </c>
      <c r="B95" s="74" t="s">
        <v>212</v>
      </c>
      <c r="C95" s="83" t="s">
        <v>215</v>
      </c>
      <c r="D95" s="73">
        <v>2</v>
      </c>
      <c r="E95" s="47"/>
      <c r="F95" s="60"/>
      <c r="G95" s="42"/>
    </row>
    <row r="96" spans="1:7" ht="20.100000000000001" customHeight="1" x14ac:dyDescent="0.2">
      <c r="A96" s="71" t="s">
        <v>216</v>
      </c>
      <c r="B96" s="71" t="s">
        <v>217</v>
      </c>
      <c r="C96" s="82" t="s">
        <v>218</v>
      </c>
      <c r="D96" s="73">
        <v>2</v>
      </c>
      <c r="E96" s="47"/>
      <c r="F96" s="60"/>
      <c r="G96" s="42"/>
    </row>
    <row r="97" spans="1:7" ht="20.100000000000001" customHeight="1" x14ac:dyDescent="0.2">
      <c r="A97" s="74" t="s">
        <v>219</v>
      </c>
      <c r="B97" s="74" t="s">
        <v>212</v>
      </c>
      <c r="C97" s="83" t="s">
        <v>220</v>
      </c>
      <c r="D97" s="73">
        <v>2</v>
      </c>
      <c r="E97" s="47"/>
      <c r="F97" s="60"/>
      <c r="G97" s="42"/>
    </row>
    <row r="98" spans="1:7" ht="20.100000000000001" customHeight="1" x14ac:dyDescent="0.25">
      <c r="A98" s="83"/>
      <c r="B98" s="83"/>
      <c r="C98" s="83"/>
      <c r="D98" s="76">
        <v>26</v>
      </c>
      <c r="E98" s="47"/>
      <c r="F98" s="60"/>
      <c r="G98" s="42"/>
    </row>
    <row r="99" spans="1:7" ht="20.100000000000001" customHeight="1" x14ac:dyDescent="0.2">
      <c r="A99" s="71" t="s">
        <v>290</v>
      </c>
      <c r="B99" s="71" t="s">
        <v>291</v>
      </c>
      <c r="C99" s="92" t="s">
        <v>292</v>
      </c>
      <c r="D99" s="91">
        <v>1</v>
      </c>
      <c r="E99" s="47"/>
      <c r="F99" s="60"/>
      <c r="G99" s="42"/>
    </row>
    <row r="100" spans="1:7" ht="20.100000000000001" customHeight="1" x14ac:dyDescent="0.2">
      <c r="A100" s="71" t="s">
        <v>293</v>
      </c>
      <c r="B100" s="71" t="s">
        <v>291</v>
      </c>
      <c r="C100" s="92" t="s">
        <v>294</v>
      </c>
      <c r="D100" s="93">
        <v>0</v>
      </c>
      <c r="E100" s="47"/>
      <c r="F100" s="60"/>
      <c r="G100" s="42"/>
    </row>
    <row r="101" spans="1:7" ht="20.100000000000001" customHeight="1" x14ac:dyDescent="0.2">
      <c r="A101" s="74" t="s">
        <v>295</v>
      </c>
      <c r="B101" s="74" t="s">
        <v>296</v>
      </c>
      <c r="C101" s="94" t="s">
        <v>297</v>
      </c>
      <c r="D101" s="95">
        <v>1</v>
      </c>
      <c r="E101" s="47"/>
      <c r="F101" s="42"/>
      <c r="G101" s="42"/>
    </row>
    <row r="102" spans="1:7" ht="20.100000000000001" customHeight="1" x14ac:dyDescent="0.2">
      <c r="A102" s="71" t="s">
        <v>298</v>
      </c>
      <c r="B102" s="71" t="s">
        <v>299</v>
      </c>
      <c r="C102" s="92" t="s">
        <v>300</v>
      </c>
      <c r="D102" s="95">
        <v>1</v>
      </c>
      <c r="E102" s="47"/>
      <c r="F102" s="60"/>
      <c r="G102" s="42"/>
    </row>
    <row r="103" spans="1:7" ht="20.100000000000001" customHeight="1" x14ac:dyDescent="0.2">
      <c r="A103" s="74" t="s">
        <v>301</v>
      </c>
      <c r="B103" s="74" t="s">
        <v>302</v>
      </c>
      <c r="C103" s="94" t="s">
        <v>303</v>
      </c>
      <c r="D103" s="95">
        <v>1</v>
      </c>
      <c r="E103" s="47"/>
      <c r="F103" s="60"/>
      <c r="G103" s="42"/>
    </row>
    <row r="104" spans="1:7" ht="20.100000000000001" customHeight="1" x14ac:dyDescent="0.2">
      <c r="A104" s="71" t="s">
        <v>304</v>
      </c>
      <c r="B104" s="71" t="s">
        <v>305</v>
      </c>
      <c r="C104" s="92" t="s">
        <v>306</v>
      </c>
      <c r="D104" s="95">
        <v>0</v>
      </c>
      <c r="E104" s="47"/>
      <c r="F104" s="60"/>
      <c r="G104" s="42"/>
    </row>
    <row r="105" spans="1:7" ht="20.100000000000001" customHeight="1" x14ac:dyDescent="0.25">
      <c r="A105" s="48"/>
      <c r="B105" s="49"/>
      <c r="C105" s="50"/>
      <c r="D105" s="51"/>
      <c r="E105" s="50"/>
      <c r="F105" s="66" t="s">
        <v>34</v>
      </c>
      <c r="G105" s="64">
        <f>SUM(G24:G104)</f>
        <v>1160</v>
      </c>
    </row>
    <row r="106" spans="1:7" ht="20.100000000000001" customHeight="1" x14ac:dyDescent="0.25">
      <c r="A106" s="48"/>
      <c r="B106" s="49"/>
      <c r="C106" s="50"/>
      <c r="D106" s="51"/>
      <c r="E106" s="50"/>
      <c r="F106" s="65" t="s">
        <v>35</v>
      </c>
      <c r="G106" s="64">
        <f>G105*12/100</f>
        <v>139.19999999999999</v>
      </c>
    </row>
    <row r="107" spans="1:7" ht="20.100000000000001" customHeight="1" x14ac:dyDescent="0.25">
      <c r="A107" s="48"/>
      <c r="B107" s="49"/>
      <c r="C107" s="50"/>
      <c r="D107" s="51"/>
      <c r="E107" s="50"/>
      <c r="F107" s="65" t="s">
        <v>36</v>
      </c>
      <c r="G107" s="64">
        <f>SUM(G105:G106)</f>
        <v>1299.2</v>
      </c>
    </row>
    <row r="108" spans="1:7" ht="20.100000000000001" customHeight="1" x14ac:dyDescent="0.25">
      <c r="A108" s="48"/>
      <c r="B108" s="49"/>
      <c r="C108" s="50"/>
      <c r="D108" s="51"/>
      <c r="E108" s="50"/>
      <c r="F108" s="52"/>
      <c r="G108" s="61"/>
    </row>
    <row r="109" spans="1:7" ht="20.100000000000001" customHeight="1" x14ac:dyDescent="0.25">
      <c r="A109" s="48"/>
      <c r="B109" s="90"/>
      <c r="C109" s="84" t="s">
        <v>221</v>
      </c>
      <c r="D109" s="51"/>
      <c r="E109" s="50"/>
      <c r="F109" s="52"/>
      <c r="G109" s="61"/>
    </row>
    <row r="110" spans="1:7" ht="20.100000000000001" customHeight="1" x14ac:dyDescent="0.25">
      <c r="A110" s="48"/>
      <c r="B110" s="84" t="s">
        <v>29</v>
      </c>
      <c r="C110" s="84" t="s">
        <v>222</v>
      </c>
      <c r="D110" s="51"/>
      <c r="E110" s="50"/>
      <c r="F110" s="52"/>
      <c r="G110" s="61"/>
    </row>
    <row r="111" spans="1:7" ht="20.100000000000001" customHeight="1" x14ac:dyDescent="0.25">
      <c r="A111" s="48"/>
      <c r="B111" s="85"/>
      <c r="C111" s="84" t="s">
        <v>223</v>
      </c>
      <c r="D111" s="51"/>
      <c r="E111" s="50"/>
      <c r="F111" s="52"/>
      <c r="G111" s="61"/>
    </row>
    <row r="112" spans="1:7" ht="20.100000000000001" customHeight="1" x14ac:dyDescent="0.25">
      <c r="A112" s="48"/>
      <c r="B112" s="86">
        <v>2</v>
      </c>
      <c r="C112" s="87" t="s">
        <v>224</v>
      </c>
      <c r="D112" s="51"/>
      <c r="E112" s="50"/>
      <c r="F112" s="52"/>
      <c r="G112" s="61"/>
    </row>
    <row r="113" spans="1:7" ht="20.100000000000001" customHeight="1" x14ac:dyDescent="0.25">
      <c r="A113" s="48"/>
      <c r="B113" s="86">
        <v>1</v>
      </c>
      <c r="C113" s="87" t="s">
        <v>225</v>
      </c>
      <c r="D113" s="51"/>
      <c r="E113" s="50"/>
      <c r="F113" s="52"/>
      <c r="G113" s="61"/>
    </row>
    <row r="114" spans="1:7" ht="20.100000000000001" customHeight="1" x14ac:dyDescent="0.25">
      <c r="A114" s="48"/>
      <c r="B114" s="86">
        <v>1</v>
      </c>
      <c r="C114" s="87" t="s">
        <v>226</v>
      </c>
      <c r="D114" s="51"/>
      <c r="E114" s="50"/>
      <c r="F114" s="52"/>
      <c r="G114" s="61"/>
    </row>
    <row r="115" spans="1:7" ht="20.100000000000001" customHeight="1" x14ac:dyDescent="0.25">
      <c r="A115" s="48"/>
      <c r="B115" s="86">
        <v>1</v>
      </c>
      <c r="C115" s="87" t="s">
        <v>227</v>
      </c>
      <c r="D115" s="51"/>
      <c r="E115" s="50"/>
      <c r="F115" s="52"/>
      <c r="G115" s="61"/>
    </row>
    <row r="116" spans="1:7" ht="20.100000000000001" customHeight="1" x14ac:dyDescent="0.25">
      <c r="A116" s="48"/>
      <c r="B116" s="86">
        <v>2</v>
      </c>
      <c r="C116" s="87" t="s">
        <v>228</v>
      </c>
      <c r="D116" s="51"/>
      <c r="E116" s="50"/>
      <c r="F116" s="52"/>
      <c r="G116" s="61"/>
    </row>
    <row r="117" spans="1:7" ht="20.100000000000001" customHeight="1" x14ac:dyDescent="0.25">
      <c r="A117" s="48"/>
      <c r="B117" s="86">
        <v>1</v>
      </c>
      <c r="C117" s="87" t="s">
        <v>229</v>
      </c>
      <c r="D117" s="51"/>
      <c r="E117" s="50"/>
      <c r="F117" s="52"/>
      <c r="G117" s="61"/>
    </row>
    <row r="118" spans="1:7" ht="20.100000000000001" customHeight="1" x14ac:dyDescent="0.25">
      <c r="A118" s="48"/>
      <c r="B118" s="86">
        <v>1</v>
      </c>
      <c r="C118" s="87" t="s">
        <v>230</v>
      </c>
      <c r="D118" s="51"/>
      <c r="E118" s="50"/>
      <c r="F118" s="52"/>
      <c r="G118" s="61"/>
    </row>
    <row r="119" spans="1:7" ht="20.100000000000001" customHeight="1" x14ac:dyDescent="0.25">
      <c r="A119" s="48"/>
      <c r="B119" s="86">
        <v>1</v>
      </c>
      <c r="C119" s="87" t="s">
        <v>231</v>
      </c>
      <c r="D119" s="51"/>
      <c r="E119" s="50"/>
      <c r="F119" s="52"/>
      <c r="G119" s="61"/>
    </row>
    <row r="120" spans="1:7" ht="20.100000000000001" customHeight="1" x14ac:dyDescent="0.25">
      <c r="A120" s="48"/>
      <c r="B120" s="86">
        <v>1</v>
      </c>
      <c r="C120" s="87" t="s">
        <v>232</v>
      </c>
      <c r="D120" s="51"/>
      <c r="E120" s="50"/>
      <c r="F120" s="52"/>
      <c r="G120" s="61"/>
    </row>
    <row r="121" spans="1:7" ht="20.100000000000001" customHeight="1" x14ac:dyDescent="0.25">
      <c r="A121" s="48"/>
      <c r="B121" s="86">
        <v>1</v>
      </c>
      <c r="C121" s="87" t="s">
        <v>233</v>
      </c>
      <c r="D121" s="51"/>
      <c r="E121" s="50"/>
      <c r="F121" s="52"/>
      <c r="G121" s="61"/>
    </row>
    <row r="122" spans="1:7" ht="20.100000000000001" customHeight="1" x14ac:dyDescent="0.25">
      <c r="A122" s="48"/>
      <c r="B122" s="86">
        <v>1</v>
      </c>
      <c r="C122" s="87" t="s">
        <v>234</v>
      </c>
      <c r="D122" s="51"/>
      <c r="E122" s="50"/>
      <c r="F122" s="52"/>
      <c r="G122" s="61"/>
    </row>
    <row r="123" spans="1:7" ht="20.100000000000001" customHeight="1" x14ac:dyDescent="0.25">
      <c r="A123" s="48"/>
      <c r="B123" s="86">
        <v>1</v>
      </c>
      <c r="C123" s="87" t="s">
        <v>235</v>
      </c>
      <c r="D123" s="51"/>
      <c r="E123" s="50"/>
      <c r="F123" s="52"/>
      <c r="G123" s="61"/>
    </row>
    <row r="124" spans="1:7" ht="20.100000000000001" customHeight="1" x14ac:dyDescent="0.25">
      <c r="A124" s="48"/>
      <c r="B124" s="84">
        <v>14</v>
      </c>
      <c r="C124" s="87"/>
      <c r="D124" s="51"/>
      <c r="E124" s="50"/>
      <c r="F124" s="52"/>
      <c r="G124" s="61"/>
    </row>
    <row r="125" spans="1:7" ht="20.100000000000001" customHeight="1" x14ac:dyDescent="0.25">
      <c r="A125" s="48"/>
      <c r="B125" s="85"/>
      <c r="C125" s="84" t="s">
        <v>236</v>
      </c>
      <c r="D125" s="51"/>
      <c r="E125" s="50"/>
      <c r="F125" s="52"/>
      <c r="G125" s="61"/>
    </row>
    <row r="126" spans="1:7" ht="20.100000000000001" customHeight="1" x14ac:dyDescent="0.25">
      <c r="A126" s="48"/>
      <c r="B126" s="86">
        <v>3</v>
      </c>
      <c r="C126" s="87" t="s">
        <v>237</v>
      </c>
      <c r="D126" s="51"/>
      <c r="E126" s="50"/>
      <c r="F126" s="52"/>
      <c r="G126" s="61"/>
    </row>
    <row r="127" spans="1:7" ht="20.100000000000001" customHeight="1" x14ac:dyDescent="0.25">
      <c r="A127" s="48"/>
      <c r="B127" s="86">
        <v>1</v>
      </c>
      <c r="C127" s="87" t="s">
        <v>238</v>
      </c>
      <c r="D127" s="51"/>
      <c r="E127" s="50"/>
      <c r="F127" s="52"/>
      <c r="G127" s="61"/>
    </row>
    <row r="128" spans="1:7" ht="20.100000000000001" customHeight="1" x14ac:dyDescent="0.25">
      <c r="A128" s="48"/>
      <c r="B128" s="86">
        <v>1</v>
      </c>
      <c r="C128" s="87" t="s">
        <v>239</v>
      </c>
      <c r="D128" s="51"/>
      <c r="E128" s="50"/>
      <c r="F128" s="52"/>
      <c r="G128" s="61"/>
    </row>
    <row r="129" spans="1:7" ht="20.100000000000001" customHeight="1" x14ac:dyDescent="0.25">
      <c r="A129" s="48"/>
      <c r="B129" s="86">
        <v>0</v>
      </c>
      <c r="C129" s="87" t="s">
        <v>240</v>
      </c>
      <c r="D129" s="51"/>
      <c r="E129" s="50"/>
      <c r="F129" s="52"/>
      <c r="G129" s="61"/>
    </row>
    <row r="130" spans="1:7" ht="20.100000000000001" customHeight="1" x14ac:dyDescent="0.25">
      <c r="A130" s="48"/>
      <c r="B130" s="86">
        <v>1</v>
      </c>
      <c r="C130" s="87" t="s">
        <v>241</v>
      </c>
      <c r="D130" s="51"/>
      <c r="E130" s="50"/>
      <c r="F130" s="52"/>
      <c r="G130" s="61"/>
    </row>
    <row r="131" spans="1:7" ht="20.100000000000001" customHeight="1" x14ac:dyDescent="0.25">
      <c r="A131" s="48"/>
      <c r="B131" s="86">
        <v>1</v>
      </c>
      <c r="C131" s="87" t="s">
        <v>242</v>
      </c>
      <c r="D131" s="51"/>
      <c r="E131" s="50"/>
      <c r="F131" s="52"/>
      <c r="G131" s="61"/>
    </row>
    <row r="132" spans="1:7" ht="20.100000000000001" customHeight="1" x14ac:dyDescent="0.25">
      <c r="A132" s="48"/>
      <c r="B132" s="86">
        <v>1</v>
      </c>
      <c r="C132" s="87" t="s">
        <v>243</v>
      </c>
      <c r="D132" s="51"/>
      <c r="E132" s="50"/>
      <c r="F132" s="52"/>
      <c r="G132" s="61"/>
    </row>
    <row r="133" spans="1:7" ht="20.100000000000001" customHeight="1" x14ac:dyDescent="0.25">
      <c r="A133" s="48"/>
      <c r="B133" s="86">
        <v>2</v>
      </c>
      <c r="C133" s="87" t="s">
        <v>244</v>
      </c>
      <c r="D133" s="51"/>
      <c r="E133" s="50"/>
      <c r="F133" s="52"/>
      <c r="G133" s="61"/>
    </row>
    <row r="134" spans="1:7" ht="20.100000000000001" customHeight="1" x14ac:dyDescent="0.25">
      <c r="A134" s="48"/>
      <c r="B134" s="86">
        <v>1</v>
      </c>
      <c r="C134" s="88" t="s">
        <v>245</v>
      </c>
      <c r="D134" s="51"/>
      <c r="E134" s="50"/>
      <c r="F134" s="52"/>
      <c r="G134" s="61"/>
    </row>
    <row r="135" spans="1:7" ht="20.100000000000001" customHeight="1" x14ac:dyDescent="0.25">
      <c r="A135" s="48"/>
      <c r="B135" s="86">
        <v>1</v>
      </c>
      <c r="C135" s="87" t="s">
        <v>246</v>
      </c>
      <c r="D135" s="51"/>
      <c r="E135" s="50"/>
      <c r="F135" s="52"/>
      <c r="G135" s="61"/>
    </row>
    <row r="136" spans="1:7" ht="20.100000000000001" customHeight="1" x14ac:dyDescent="0.25">
      <c r="A136" s="48"/>
      <c r="B136" s="86">
        <v>1</v>
      </c>
      <c r="C136" s="87" t="s">
        <v>247</v>
      </c>
      <c r="D136" s="51"/>
      <c r="E136" s="50"/>
      <c r="F136" s="52"/>
      <c r="G136" s="61"/>
    </row>
    <row r="137" spans="1:7" ht="20.100000000000001" customHeight="1" x14ac:dyDescent="0.25">
      <c r="A137" s="48"/>
      <c r="B137" s="86">
        <v>1</v>
      </c>
      <c r="C137" s="87" t="s">
        <v>248</v>
      </c>
      <c r="D137" s="51"/>
      <c r="E137" s="50"/>
      <c r="F137" s="52"/>
      <c r="G137" s="61"/>
    </row>
    <row r="138" spans="1:7" ht="20.100000000000001" customHeight="1" x14ac:dyDescent="0.25">
      <c r="A138" s="48"/>
      <c r="B138" s="86">
        <v>1</v>
      </c>
      <c r="C138" s="87" t="s">
        <v>249</v>
      </c>
      <c r="D138" s="51"/>
      <c r="E138" s="50"/>
      <c r="F138" s="52"/>
      <c r="G138" s="61"/>
    </row>
    <row r="139" spans="1:7" ht="20.100000000000001" customHeight="1" x14ac:dyDescent="0.25">
      <c r="A139" s="48"/>
      <c r="B139" s="86">
        <v>1</v>
      </c>
      <c r="C139" s="87" t="s">
        <v>250</v>
      </c>
      <c r="D139" s="51"/>
      <c r="E139" s="50"/>
      <c r="F139" s="52"/>
      <c r="G139" s="61"/>
    </row>
    <row r="140" spans="1:7" ht="20.100000000000001" customHeight="1" x14ac:dyDescent="0.25">
      <c r="A140" s="48"/>
      <c r="B140" s="86">
        <v>1</v>
      </c>
      <c r="C140" s="87" t="s">
        <v>251</v>
      </c>
      <c r="D140" s="51"/>
      <c r="E140" s="50"/>
      <c r="F140" s="52"/>
      <c r="G140" s="61"/>
    </row>
    <row r="141" spans="1:7" ht="20.100000000000001" customHeight="1" x14ac:dyDescent="0.25">
      <c r="A141" s="48"/>
      <c r="B141" s="84">
        <v>17</v>
      </c>
      <c r="C141" s="87"/>
      <c r="D141" s="51"/>
      <c r="E141" s="50"/>
      <c r="F141" s="52"/>
      <c r="G141" s="61"/>
    </row>
    <row r="142" spans="1:7" ht="20.100000000000001" customHeight="1" x14ac:dyDescent="0.25">
      <c r="A142" s="48"/>
      <c r="B142" s="85"/>
      <c r="C142" s="84" t="s">
        <v>252</v>
      </c>
      <c r="D142" s="51"/>
      <c r="E142" s="50"/>
      <c r="F142" s="52"/>
      <c r="G142" s="61"/>
    </row>
    <row r="143" spans="1:7" ht="20.100000000000001" customHeight="1" x14ac:dyDescent="0.25">
      <c r="A143" s="48"/>
      <c r="B143" s="86">
        <v>1</v>
      </c>
      <c r="C143" s="87" t="s">
        <v>253</v>
      </c>
      <c r="D143" s="51"/>
      <c r="E143" s="50"/>
      <c r="F143" s="52"/>
      <c r="G143" s="61"/>
    </row>
    <row r="144" spans="1:7" ht="20.100000000000001" customHeight="1" x14ac:dyDescent="0.25">
      <c r="A144" s="48"/>
      <c r="B144" s="86">
        <v>1</v>
      </c>
      <c r="C144" s="87" t="s">
        <v>254</v>
      </c>
      <c r="D144" s="51"/>
      <c r="E144" s="50"/>
      <c r="F144" s="52"/>
      <c r="G144" s="61"/>
    </row>
    <row r="145" spans="1:7" ht="20.100000000000001" customHeight="1" x14ac:dyDescent="0.25">
      <c r="A145" s="48"/>
      <c r="B145" s="86">
        <v>1</v>
      </c>
      <c r="C145" s="87" t="s">
        <v>255</v>
      </c>
      <c r="D145" s="51"/>
      <c r="E145" s="50"/>
      <c r="F145" s="52"/>
      <c r="G145" s="61"/>
    </row>
    <row r="146" spans="1:7" ht="20.100000000000001" customHeight="1" x14ac:dyDescent="0.25">
      <c r="A146" s="48"/>
      <c r="B146" s="86">
        <v>1</v>
      </c>
      <c r="C146" s="87" t="s">
        <v>230</v>
      </c>
      <c r="D146" s="51"/>
      <c r="E146" s="50"/>
      <c r="F146" s="52"/>
      <c r="G146" s="61"/>
    </row>
    <row r="147" spans="1:7" ht="20.100000000000001" customHeight="1" x14ac:dyDescent="0.25">
      <c r="A147" s="48"/>
      <c r="B147" s="86">
        <v>6</v>
      </c>
      <c r="C147" s="87" t="s">
        <v>256</v>
      </c>
      <c r="D147" s="51"/>
      <c r="E147" s="50"/>
      <c r="F147" s="52"/>
      <c r="G147" s="61"/>
    </row>
    <row r="148" spans="1:7" ht="20.100000000000001" customHeight="1" x14ac:dyDescent="0.25">
      <c r="A148" s="48"/>
      <c r="B148" s="86">
        <v>1</v>
      </c>
      <c r="C148" s="87" t="s">
        <v>257</v>
      </c>
      <c r="D148" s="51"/>
      <c r="E148" s="50"/>
      <c r="F148" s="52"/>
      <c r="G148" s="61"/>
    </row>
    <row r="149" spans="1:7" ht="20.100000000000001" customHeight="1" x14ac:dyDescent="0.25">
      <c r="A149" s="48"/>
      <c r="B149" s="86">
        <v>1</v>
      </c>
      <c r="C149" s="87" t="s">
        <v>258</v>
      </c>
      <c r="D149" s="51"/>
      <c r="E149" s="50"/>
      <c r="F149" s="52"/>
      <c r="G149" s="61"/>
    </row>
    <row r="150" spans="1:7" ht="20.100000000000001" customHeight="1" x14ac:dyDescent="0.25">
      <c r="A150" s="48"/>
      <c r="B150" s="86">
        <v>1</v>
      </c>
      <c r="C150" s="87" t="s">
        <v>259</v>
      </c>
      <c r="D150" s="51"/>
      <c r="E150" s="50"/>
      <c r="F150" s="52"/>
      <c r="G150" s="61"/>
    </row>
    <row r="151" spans="1:7" ht="20.100000000000001" customHeight="1" x14ac:dyDescent="0.25">
      <c r="A151" s="48"/>
      <c r="B151" s="86" t="s">
        <v>260</v>
      </c>
      <c r="C151" s="87" t="s">
        <v>261</v>
      </c>
      <c r="D151" s="51"/>
      <c r="E151" s="50"/>
      <c r="F151" s="52"/>
      <c r="G151" s="61"/>
    </row>
    <row r="152" spans="1:7" ht="20.100000000000001" customHeight="1" x14ac:dyDescent="0.25">
      <c r="A152" s="48"/>
      <c r="B152" s="86">
        <v>1</v>
      </c>
      <c r="C152" s="87" t="s">
        <v>262</v>
      </c>
      <c r="D152" s="51"/>
      <c r="E152" s="50"/>
      <c r="F152" s="52"/>
      <c r="G152" s="61"/>
    </row>
    <row r="153" spans="1:7" ht="20.100000000000001" customHeight="1" x14ac:dyDescent="0.25">
      <c r="A153" s="48"/>
      <c r="B153" s="86">
        <v>1</v>
      </c>
      <c r="C153" s="87" t="s">
        <v>263</v>
      </c>
      <c r="D153" s="51"/>
      <c r="E153" s="50"/>
      <c r="F153" s="52"/>
      <c r="G153" s="61"/>
    </row>
    <row r="154" spans="1:7" ht="20.100000000000001" customHeight="1" x14ac:dyDescent="0.25">
      <c r="A154" s="48"/>
      <c r="B154" s="86">
        <v>1</v>
      </c>
      <c r="C154" s="87" t="s">
        <v>264</v>
      </c>
      <c r="D154" s="51"/>
      <c r="E154" s="50"/>
      <c r="F154" s="52"/>
      <c r="G154" s="61"/>
    </row>
    <row r="155" spans="1:7" ht="20.100000000000001" customHeight="1" x14ac:dyDescent="0.25">
      <c r="A155" s="48"/>
      <c r="B155" s="84">
        <v>15</v>
      </c>
      <c r="C155" s="87"/>
      <c r="D155" s="51"/>
      <c r="E155" s="50"/>
      <c r="F155" s="52"/>
      <c r="G155" s="61"/>
    </row>
    <row r="156" spans="1:7" ht="20.100000000000001" customHeight="1" x14ac:dyDescent="0.25">
      <c r="A156" s="48"/>
      <c r="B156" s="85"/>
      <c r="C156" s="84" t="s">
        <v>265</v>
      </c>
      <c r="D156" s="51"/>
      <c r="E156" s="50"/>
      <c r="F156" s="52"/>
      <c r="G156" s="61"/>
    </row>
    <row r="157" spans="1:7" ht="20.100000000000001" customHeight="1" x14ac:dyDescent="0.25">
      <c r="A157" s="48"/>
      <c r="B157" s="86">
        <v>1</v>
      </c>
      <c r="C157" s="88" t="s">
        <v>266</v>
      </c>
      <c r="D157" s="51"/>
      <c r="E157" s="50"/>
      <c r="F157" s="52"/>
      <c r="G157" s="61"/>
    </row>
    <row r="158" spans="1:7" ht="20.100000000000001" customHeight="1" x14ac:dyDescent="0.25">
      <c r="A158" s="48"/>
      <c r="B158" s="86">
        <v>2</v>
      </c>
      <c r="C158" s="88" t="s">
        <v>267</v>
      </c>
      <c r="D158" s="51"/>
      <c r="E158" s="50"/>
      <c r="F158" s="52"/>
      <c r="G158" s="61"/>
    </row>
    <row r="159" spans="1:7" ht="20.100000000000001" customHeight="1" x14ac:dyDescent="0.25">
      <c r="A159" s="48"/>
      <c r="B159" s="86">
        <v>1</v>
      </c>
      <c r="C159" s="88" t="s">
        <v>268</v>
      </c>
      <c r="D159" s="51"/>
      <c r="E159" s="50"/>
      <c r="F159" s="52"/>
      <c r="G159" s="61"/>
    </row>
    <row r="160" spans="1:7" ht="20.100000000000001" customHeight="1" x14ac:dyDescent="0.25">
      <c r="A160" s="48"/>
      <c r="B160" s="86">
        <v>1</v>
      </c>
      <c r="C160" s="88" t="s">
        <v>269</v>
      </c>
      <c r="D160" s="51"/>
      <c r="E160" s="50"/>
      <c r="F160" s="52"/>
      <c r="G160" s="61"/>
    </row>
    <row r="161" spans="1:7" ht="20.100000000000001" customHeight="1" x14ac:dyDescent="0.25">
      <c r="A161" s="48"/>
      <c r="B161" s="86">
        <v>3</v>
      </c>
      <c r="C161" s="88" t="s">
        <v>270</v>
      </c>
      <c r="D161" s="51"/>
      <c r="E161" s="50"/>
      <c r="F161" s="52"/>
      <c r="G161" s="61"/>
    </row>
    <row r="162" spans="1:7" ht="20.100000000000001" customHeight="1" x14ac:dyDescent="0.25">
      <c r="A162" s="48"/>
      <c r="B162" s="86">
        <v>1</v>
      </c>
      <c r="C162" s="88" t="s">
        <v>271</v>
      </c>
      <c r="D162" s="51"/>
      <c r="E162" s="50"/>
      <c r="F162" s="52"/>
      <c r="G162" s="61"/>
    </row>
    <row r="163" spans="1:7" ht="20.100000000000001" customHeight="1" x14ac:dyDescent="0.25">
      <c r="A163" s="48"/>
      <c r="B163" s="86">
        <v>1</v>
      </c>
      <c r="C163" s="88" t="s">
        <v>272</v>
      </c>
      <c r="D163" s="51"/>
      <c r="E163" s="50"/>
      <c r="F163" s="52"/>
      <c r="G163" s="61"/>
    </row>
    <row r="164" spans="1:7" ht="20.100000000000001" customHeight="1" x14ac:dyDescent="0.25">
      <c r="A164" s="48"/>
      <c r="B164" s="86">
        <v>1</v>
      </c>
      <c r="C164" s="88" t="s">
        <v>273</v>
      </c>
      <c r="D164" s="51"/>
      <c r="E164" s="50"/>
      <c r="F164" s="52"/>
      <c r="G164" s="61"/>
    </row>
    <row r="165" spans="1:7" ht="20.100000000000001" customHeight="1" x14ac:dyDescent="0.25">
      <c r="A165" s="48"/>
      <c r="B165" s="86">
        <v>1</v>
      </c>
      <c r="C165" s="88" t="s">
        <v>274</v>
      </c>
      <c r="D165" s="51"/>
      <c r="E165" s="50"/>
      <c r="F165" s="52"/>
      <c r="G165" s="61"/>
    </row>
    <row r="166" spans="1:7" ht="20.100000000000001" customHeight="1" x14ac:dyDescent="0.25">
      <c r="A166" s="48"/>
      <c r="B166" s="86">
        <v>1</v>
      </c>
      <c r="C166" s="88" t="s">
        <v>275</v>
      </c>
      <c r="D166" s="51"/>
      <c r="E166" s="50"/>
      <c r="F166" s="52"/>
      <c r="G166" s="61"/>
    </row>
    <row r="167" spans="1:7" ht="20.100000000000001" customHeight="1" x14ac:dyDescent="0.25">
      <c r="A167" s="48"/>
      <c r="B167" s="86">
        <v>1</v>
      </c>
      <c r="C167" s="88" t="s">
        <v>276</v>
      </c>
      <c r="D167" s="51"/>
      <c r="E167" s="50"/>
      <c r="F167" s="52"/>
      <c r="G167" s="61"/>
    </row>
    <row r="168" spans="1:7" ht="20.100000000000001" customHeight="1" x14ac:dyDescent="0.25">
      <c r="A168" s="48"/>
      <c r="B168" s="86">
        <v>1</v>
      </c>
      <c r="C168" s="88" t="s">
        <v>277</v>
      </c>
      <c r="D168" s="51"/>
      <c r="E168" s="50"/>
      <c r="F168" s="52"/>
      <c r="G168" s="61"/>
    </row>
    <row r="169" spans="1:7" ht="20.100000000000001" customHeight="1" x14ac:dyDescent="0.25">
      <c r="A169" s="48"/>
      <c r="B169" s="86">
        <v>1</v>
      </c>
      <c r="C169" s="88" t="s">
        <v>278</v>
      </c>
      <c r="D169" s="51"/>
      <c r="E169" s="50"/>
      <c r="F169" s="52"/>
      <c r="G169" s="61"/>
    </row>
    <row r="170" spans="1:7" ht="20.100000000000001" customHeight="1" x14ac:dyDescent="0.25">
      <c r="A170" s="48"/>
      <c r="B170" s="86">
        <v>1</v>
      </c>
      <c r="C170" s="88" t="s">
        <v>279</v>
      </c>
      <c r="D170" s="51"/>
      <c r="E170" s="50"/>
      <c r="F170" s="52"/>
      <c r="G170" s="61"/>
    </row>
    <row r="171" spans="1:7" ht="20.100000000000001" customHeight="1" x14ac:dyDescent="0.25">
      <c r="A171" s="48"/>
      <c r="B171" s="86">
        <v>1</v>
      </c>
      <c r="C171" s="88" t="s">
        <v>280</v>
      </c>
      <c r="D171" s="51"/>
      <c r="E171" s="50"/>
      <c r="F171" s="52"/>
      <c r="G171" s="61"/>
    </row>
    <row r="172" spans="1:7" ht="20.100000000000001" customHeight="1" x14ac:dyDescent="0.25">
      <c r="A172" s="48"/>
      <c r="B172" s="86">
        <v>1</v>
      </c>
      <c r="C172" s="87" t="s">
        <v>281</v>
      </c>
      <c r="D172" s="51"/>
      <c r="E172" s="50"/>
      <c r="F172" s="52"/>
      <c r="G172" s="61"/>
    </row>
    <row r="173" spans="1:7" ht="20.100000000000001" customHeight="1" x14ac:dyDescent="0.25">
      <c r="A173" s="48"/>
      <c r="B173" s="86">
        <v>1</v>
      </c>
      <c r="C173" s="87" t="s">
        <v>282</v>
      </c>
      <c r="D173" s="51"/>
      <c r="E173" s="50"/>
      <c r="F173" s="52"/>
      <c r="G173" s="61"/>
    </row>
    <row r="174" spans="1:7" ht="20.100000000000001" customHeight="1" x14ac:dyDescent="0.25">
      <c r="A174" s="48"/>
      <c r="B174" s="86">
        <v>10</v>
      </c>
      <c r="C174" s="88" t="s">
        <v>283</v>
      </c>
      <c r="D174" s="51"/>
      <c r="E174" s="50"/>
      <c r="F174" s="52"/>
      <c r="G174" s="61"/>
    </row>
    <row r="175" spans="1:7" ht="20.100000000000001" customHeight="1" x14ac:dyDescent="0.25">
      <c r="A175" s="48"/>
      <c r="B175" s="86">
        <v>5</v>
      </c>
      <c r="C175" s="88" t="s">
        <v>284</v>
      </c>
      <c r="D175" s="51"/>
      <c r="E175" s="50"/>
      <c r="F175" s="52"/>
      <c r="G175" s="61"/>
    </row>
    <row r="176" spans="1:7" ht="20.100000000000001" customHeight="1" x14ac:dyDescent="0.25">
      <c r="A176" s="48"/>
      <c r="B176" s="84">
        <v>35</v>
      </c>
      <c r="C176" s="87"/>
      <c r="D176" s="51"/>
      <c r="E176" s="50"/>
      <c r="F176" s="52"/>
      <c r="G176" s="61"/>
    </row>
    <row r="177" spans="1:7" ht="20.100000000000001" customHeight="1" x14ac:dyDescent="0.25">
      <c r="A177" s="48"/>
      <c r="B177" s="86">
        <v>1</v>
      </c>
      <c r="C177" s="87" t="s">
        <v>288</v>
      </c>
      <c r="D177" s="51"/>
      <c r="E177" s="50"/>
      <c r="F177" s="52"/>
      <c r="G177" s="61"/>
    </row>
    <row r="178" spans="1:7" ht="20.100000000000001" customHeight="1" x14ac:dyDescent="0.25">
      <c r="A178" s="48"/>
      <c r="B178" s="86"/>
      <c r="C178" s="87"/>
      <c r="D178" s="51"/>
      <c r="E178" s="50"/>
      <c r="F178" s="52"/>
      <c r="G178" s="61"/>
    </row>
    <row r="179" spans="1:7" ht="20.100000000000001" customHeight="1" x14ac:dyDescent="0.25">
      <c r="A179" s="48"/>
      <c r="B179" s="86">
        <v>1</v>
      </c>
      <c r="C179" s="87" t="s">
        <v>307</v>
      </c>
      <c r="D179" s="51"/>
      <c r="E179" s="50"/>
      <c r="F179" s="52"/>
      <c r="G179" s="61"/>
    </row>
    <row r="180" spans="1:7" ht="20.100000000000001" customHeight="1" x14ac:dyDescent="0.25">
      <c r="A180" s="48"/>
      <c r="B180" s="86">
        <v>4</v>
      </c>
      <c r="C180" s="87" t="s">
        <v>57</v>
      </c>
      <c r="D180" s="51"/>
      <c r="E180" s="50"/>
      <c r="F180" s="52"/>
      <c r="G180" s="61"/>
    </row>
    <row r="181" spans="1:7" ht="20.100000000000001" customHeight="1" x14ac:dyDescent="0.25">
      <c r="A181" s="48"/>
      <c r="B181" s="86">
        <v>1</v>
      </c>
      <c r="C181" s="87" t="s">
        <v>285</v>
      </c>
      <c r="D181" s="51"/>
      <c r="E181" s="50"/>
      <c r="F181" s="52"/>
      <c r="G181" s="61"/>
    </row>
    <row r="182" spans="1:7" ht="20.100000000000001" customHeight="1" x14ac:dyDescent="0.25">
      <c r="A182" s="48"/>
      <c r="B182" s="86">
        <v>1</v>
      </c>
      <c r="C182" s="87" t="s">
        <v>286</v>
      </c>
      <c r="D182" s="51"/>
      <c r="E182" s="50"/>
      <c r="F182" s="52"/>
      <c r="G182" s="61"/>
    </row>
    <row r="183" spans="1:7" ht="20.100000000000001" customHeight="1" x14ac:dyDescent="0.25">
      <c r="A183" s="48"/>
      <c r="B183" s="86">
        <v>1</v>
      </c>
      <c r="C183" s="87" t="s">
        <v>287</v>
      </c>
      <c r="D183" s="51"/>
      <c r="E183" s="50"/>
      <c r="F183" s="52"/>
      <c r="G183" s="61"/>
    </row>
    <row r="184" spans="1:7" ht="20.100000000000001" customHeight="1" x14ac:dyDescent="0.25">
      <c r="A184" s="48"/>
      <c r="B184" s="84">
        <v>8</v>
      </c>
      <c r="C184" s="89"/>
      <c r="D184" s="51"/>
      <c r="E184" s="50"/>
      <c r="F184" s="52"/>
      <c r="G184" s="61"/>
    </row>
    <row r="185" spans="1:7" ht="20.100000000000001" customHeight="1" x14ac:dyDescent="0.2">
      <c r="A185" s="63"/>
      <c r="B185" s="49"/>
      <c r="C185" s="63"/>
      <c r="D185" s="63"/>
      <c r="E185" s="63"/>
      <c r="F185" s="63"/>
      <c r="G185" s="63"/>
    </row>
    <row r="186" spans="1:7" ht="20.100000000000001" customHeight="1" x14ac:dyDescent="0.2">
      <c r="A186" s="63"/>
      <c r="B186" s="49"/>
      <c r="C186" s="63"/>
      <c r="D186" s="63"/>
      <c r="E186" s="63"/>
      <c r="F186" s="63"/>
      <c r="G186" s="63"/>
    </row>
    <row r="187" spans="1:7" ht="20.100000000000001" customHeight="1" x14ac:dyDescent="0.2">
      <c r="A187" s="63"/>
      <c r="B187" s="63"/>
      <c r="C187" s="63"/>
      <c r="D187" s="63"/>
      <c r="E187" s="63"/>
      <c r="F187" s="63"/>
      <c r="G187" s="63"/>
    </row>
    <row r="188" spans="1:7" ht="20.100000000000001" customHeight="1" x14ac:dyDescent="0.2">
      <c r="A188" s="63"/>
      <c r="B188" s="63"/>
      <c r="C188" s="63"/>
      <c r="D188" s="63"/>
      <c r="E188" s="63"/>
      <c r="F188" s="63"/>
      <c r="G188" s="63"/>
    </row>
    <row r="189" spans="1:7" ht="20.100000000000001" customHeight="1" x14ac:dyDescent="0.2">
      <c r="B189" s="10"/>
      <c r="C189" s="62" t="s">
        <v>15</v>
      </c>
      <c r="D189" s="63"/>
      <c r="E189" s="63"/>
      <c r="F189" s="63"/>
      <c r="G189" s="63"/>
    </row>
    <row r="190" spans="1:7" ht="20.100000000000001" customHeight="1" x14ac:dyDescent="0.2">
      <c r="B190" s="10"/>
      <c r="C190" s="63"/>
      <c r="D190" s="63"/>
      <c r="E190" s="63"/>
      <c r="F190" s="63"/>
      <c r="G190" s="63"/>
    </row>
    <row r="191" spans="1:7" ht="20.100000000000001" customHeight="1" x14ac:dyDescent="0.2">
      <c r="B191" s="10"/>
      <c r="C191" s="63"/>
      <c r="D191" s="63"/>
      <c r="E191" s="63"/>
      <c r="F191" s="63"/>
      <c r="G191" s="63"/>
    </row>
    <row r="192" spans="1:7" ht="20.100000000000001" customHeight="1" x14ac:dyDescent="0.2">
      <c r="B192" s="10"/>
      <c r="C192" s="63"/>
      <c r="D192" s="63"/>
      <c r="E192" s="63"/>
      <c r="F192" s="63"/>
      <c r="G192" s="63"/>
    </row>
    <row r="193" spans="2:7" ht="20.100000000000001" customHeight="1" x14ac:dyDescent="0.2">
      <c r="B193" s="10"/>
      <c r="C193" s="62" t="s">
        <v>16</v>
      </c>
      <c r="D193" s="63"/>
      <c r="E193" s="63"/>
      <c r="F193" s="63"/>
      <c r="G193" s="63"/>
    </row>
    <row r="194" spans="2:7" ht="20.100000000000001" customHeight="1" x14ac:dyDescent="0.2">
      <c r="B194" s="10"/>
      <c r="C194" s="63"/>
      <c r="D194" s="63"/>
      <c r="E194" s="63"/>
      <c r="F194" s="63"/>
      <c r="G194" s="63"/>
    </row>
    <row r="195" spans="2:7" ht="20.100000000000001" customHeight="1" x14ac:dyDescent="0.2">
      <c r="B195" s="10"/>
      <c r="C195" s="55"/>
      <c r="D195" s="55"/>
      <c r="E195" s="63"/>
      <c r="F195" s="56"/>
      <c r="G195" s="56"/>
    </row>
    <row r="196" spans="2:7" ht="20.100000000000001" customHeight="1" x14ac:dyDescent="0.2">
      <c r="B196" s="10"/>
      <c r="C196" s="62" t="s">
        <v>58</v>
      </c>
      <c r="D196" s="63"/>
      <c r="E196" s="63"/>
      <c r="F196" s="56"/>
      <c r="G196" s="57"/>
    </row>
    <row r="197" spans="2:7" ht="20.100000000000001" customHeight="1" x14ac:dyDescent="0.2">
      <c r="B197" s="10"/>
      <c r="C197" s="53"/>
      <c r="D197" s="58"/>
      <c r="E197" s="63"/>
      <c r="F197" s="54"/>
      <c r="G197" s="57"/>
    </row>
    <row r="198" spans="2:7" ht="20.100000000000001" customHeight="1" x14ac:dyDescent="0.2">
      <c r="B198" s="10"/>
      <c r="C198" s="53"/>
      <c r="D198" s="58"/>
      <c r="E198" s="63"/>
      <c r="F198" s="54"/>
      <c r="G198" s="57"/>
    </row>
    <row r="199" spans="2:7" ht="20.100000000000001" customHeight="1" x14ac:dyDescent="0.2">
      <c r="B199" s="10"/>
      <c r="C199" s="62" t="s">
        <v>17</v>
      </c>
      <c r="D199" s="58"/>
      <c r="E199" s="63"/>
      <c r="F199" s="54"/>
      <c r="G199" s="57"/>
    </row>
    <row r="200" spans="2:7" ht="20.100000000000001" customHeight="1" x14ac:dyDescent="0.2">
      <c r="B200" s="10"/>
      <c r="C200" s="53"/>
      <c r="D200" s="58"/>
      <c r="E200" s="63"/>
      <c r="F200" s="54"/>
      <c r="G200" s="57"/>
    </row>
    <row r="201" spans="2:7" ht="20.100000000000001" customHeight="1" x14ac:dyDescent="0.2">
      <c r="B201" s="10"/>
      <c r="C201" s="57"/>
      <c r="D201" s="59"/>
      <c r="E201" s="63"/>
      <c r="F201" s="57"/>
      <c r="G201" s="57"/>
    </row>
    <row r="202" spans="2:7" ht="20.100000000000001" customHeight="1" x14ac:dyDescent="0.25">
      <c r="B202" s="10"/>
      <c r="C202" s="62" t="s">
        <v>18</v>
      </c>
      <c r="D202"/>
      <c r="E202" s="63"/>
      <c r="F202"/>
      <c r="G202" s="57"/>
    </row>
    <row r="203" spans="2:7" ht="20.100000000000001" customHeight="1" x14ac:dyDescent="0.2">
      <c r="E203" s="63"/>
    </row>
    <row r="204" spans="2:7" ht="20.100000000000001" customHeight="1" x14ac:dyDescent="0.2">
      <c r="E204" s="63"/>
    </row>
    <row r="205" spans="2:7" ht="20.100000000000001" customHeight="1" x14ac:dyDescent="0.2">
      <c r="E205" s="63"/>
    </row>
    <row r="206" spans="2:7" ht="20.100000000000001" customHeight="1" x14ac:dyDescent="0.2">
      <c r="E206" s="63"/>
    </row>
    <row r="207" spans="2:7" ht="20.100000000000001" customHeight="1" x14ac:dyDescent="0.2">
      <c r="E207" s="63"/>
    </row>
    <row r="208" spans="2:7" ht="20.100000000000001" customHeight="1" x14ac:dyDescent="0.2">
      <c r="E208" s="63"/>
    </row>
    <row r="209" spans="5:5" ht="20.100000000000001" customHeight="1" x14ac:dyDescent="0.2">
      <c r="E209" s="63"/>
    </row>
    <row r="210" spans="5:5" ht="20.100000000000001" customHeight="1" x14ac:dyDescent="0.2">
      <c r="E210" s="63"/>
    </row>
    <row r="211" spans="5:5" ht="20.100000000000001" customHeight="1" x14ac:dyDescent="0.2">
      <c r="E211" s="63"/>
    </row>
    <row r="212" spans="5:5" ht="20.100000000000001" customHeight="1" x14ac:dyDescent="0.2">
      <c r="E212" s="63"/>
    </row>
    <row r="213" spans="5:5" ht="20.100000000000001" customHeight="1" x14ac:dyDescent="0.2">
      <c r="E213" s="63"/>
    </row>
    <row r="214" spans="5:5" ht="20.100000000000001" customHeight="1" x14ac:dyDescent="0.2">
      <c r="E214" s="63"/>
    </row>
    <row r="215" spans="5:5" ht="20.100000000000001" customHeight="1" x14ac:dyDescent="0.2">
      <c r="E215" s="63"/>
    </row>
    <row r="216" spans="5:5" ht="20.100000000000001" customHeight="1" x14ac:dyDescent="0.2">
      <c r="E216" s="63"/>
    </row>
    <row r="217" spans="5:5" ht="20.100000000000001" customHeight="1" x14ac:dyDescent="0.2">
      <c r="E217" s="63"/>
    </row>
    <row r="218" spans="5:5" ht="20.100000000000001" customHeight="1" x14ac:dyDescent="0.2">
      <c r="E218" s="63"/>
    </row>
    <row r="219" spans="5:5" ht="20.100000000000001" customHeight="1" x14ac:dyDescent="0.2">
      <c r="E219" s="63"/>
    </row>
    <row r="220" spans="5:5" ht="20.100000000000001" customHeight="1" x14ac:dyDescent="0.2">
      <c r="E220" s="63"/>
    </row>
    <row r="221" spans="5:5" ht="20.100000000000001" customHeight="1" x14ac:dyDescent="0.2">
      <c r="E221" s="63"/>
    </row>
  </sheetData>
  <mergeCells count="5">
    <mergeCell ref="C2:C3"/>
    <mergeCell ref="D2:E2"/>
    <mergeCell ref="C4:C5"/>
    <mergeCell ref="M5:N6"/>
    <mergeCell ref="A11:B11"/>
  </mergeCells>
  <dataValidations count="1">
    <dataValidation allowBlank="1" showInputMessage="1" showErrorMessage="1" errorTitle="EQUIVOCACION" error="Debe seleccionar un registro de la lista" promptTitle="Clientes Ortomax" prompt="Lista de Clientes de Ortomax" sqref="C9" xr:uid="{BC2190E3-697C-451B-85AD-27F6B2A2A904}"/>
  </dataValidations>
  <pageMargins left="0.7" right="0.7" top="0.75" bottom="0.75" header="0.3" footer="0.3"/>
  <drawing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B1"/>
  <sheetViews>
    <sheetView workbookViewId="0">
      <selection activeCell="F5" sqref="F5"/>
    </sheetView>
  </sheetViews>
  <sheetFormatPr baseColWidth="10" defaultRowHeight="15" x14ac:dyDescent="0.25"/>
  <sheetData>
    <row r="1" spans="1:2" x14ac:dyDescent="0.25">
      <c r="A1" t="s">
        <v>56</v>
      </c>
      <c r="B1" s="36" t="s">
        <v>55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A18"/>
  <sheetViews>
    <sheetView workbookViewId="0">
      <selection sqref="A1:A18"/>
    </sheetView>
  </sheetViews>
  <sheetFormatPr baseColWidth="10" defaultRowHeight="15" x14ac:dyDescent="0.25"/>
  <sheetData>
    <row r="1" spans="1:1" x14ac:dyDescent="0.25">
      <c r="A1" t="s">
        <v>37</v>
      </c>
    </row>
    <row r="2" spans="1:1" x14ac:dyDescent="0.25">
      <c r="A2" t="s">
        <v>38</v>
      </c>
    </row>
    <row r="3" spans="1:1" x14ac:dyDescent="0.25">
      <c r="A3" t="s">
        <v>39</v>
      </c>
    </row>
    <row r="4" spans="1:1" x14ac:dyDescent="0.25">
      <c r="A4" t="s">
        <v>40</v>
      </c>
    </row>
    <row r="5" spans="1:1" x14ac:dyDescent="0.25">
      <c r="A5" t="s">
        <v>41</v>
      </c>
    </row>
    <row r="6" spans="1:1" x14ac:dyDescent="0.25">
      <c r="A6" t="s">
        <v>42</v>
      </c>
    </row>
    <row r="7" spans="1:1" x14ac:dyDescent="0.25">
      <c r="A7" t="s">
        <v>43</v>
      </c>
    </row>
    <row r="8" spans="1:1" x14ac:dyDescent="0.25">
      <c r="A8" t="s">
        <v>44</v>
      </c>
    </row>
    <row r="9" spans="1:1" x14ac:dyDescent="0.25">
      <c r="A9" t="s">
        <v>45</v>
      </c>
    </row>
    <row r="10" spans="1:1" x14ac:dyDescent="0.25">
      <c r="A10" t="s">
        <v>46</v>
      </c>
    </row>
    <row r="11" spans="1:1" x14ac:dyDescent="0.25">
      <c r="A11" t="s">
        <v>47</v>
      </c>
    </row>
    <row r="12" spans="1:1" x14ac:dyDescent="0.25">
      <c r="A12" t="s">
        <v>48</v>
      </c>
    </row>
    <row r="13" spans="1:1" x14ac:dyDescent="0.25">
      <c r="A13" t="s">
        <v>49</v>
      </c>
    </row>
    <row r="14" spans="1:1" x14ac:dyDescent="0.25">
      <c r="A14" t="s">
        <v>50</v>
      </c>
    </row>
    <row r="15" spans="1:1" x14ac:dyDescent="0.25">
      <c r="A15" t="s">
        <v>51</v>
      </c>
    </row>
    <row r="16" spans="1:1" x14ac:dyDescent="0.25">
      <c r="A16" t="s">
        <v>52</v>
      </c>
    </row>
    <row r="17" spans="1:1" x14ac:dyDescent="0.25">
      <c r="A17" t="s">
        <v>53</v>
      </c>
    </row>
    <row r="18" spans="1:1" x14ac:dyDescent="0.25">
      <c r="A18" t="s">
        <v>54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Rangos con nombre</vt:lpstr>
      </vt:variant>
      <vt:variant>
        <vt:i4>1</vt:i4>
      </vt:variant>
    </vt:vector>
  </HeadingPairs>
  <TitlesOfParts>
    <vt:vector size="5" baseType="lpstr">
      <vt:lpstr>Hoja1</vt:lpstr>
      <vt:lpstr>Hoja3</vt:lpstr>
      <vt:lpstr>Hoja4</vt:lpstr>
      <vt:lpstr>Hoja2</vt:lpstr>
      <vt:lpstr>Hoja1!Área_de_impresión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ortomax</dc:creator>
  <cp:lastModifiedBy>User</cp:lastModifiedBy>
  <cp:lastPrinted>2023-06-23T02:01:05Z</cp:lastPrinted>
  <dcterms:created xsi:type="dcterms:W3CDTF">2023-01-26T13:28:36Z</dcterms:created>
  <dcterms:modified xsi:type="dcterms:W3CDTF">2023-06-23T02:08:34Z</dcterms:modified>
</cp:coreProperties>
</file>