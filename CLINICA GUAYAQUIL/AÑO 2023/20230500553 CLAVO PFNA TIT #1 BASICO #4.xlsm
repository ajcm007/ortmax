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LINICA GUAYAQUIL\"/>
    </mc:Choice>
  </mc:AlternateContent>
  <xr:revisionPtr revIDLastSave="0" documentId="13_ncr:1_{B1894CD0-2937-403B-9867-41B79771BF0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3" sheetId="5" r:id="rId2"/>
    <sheet name="Hoja4" sheetId="4" state="hidden" r:id="rId3"/>
    <sheet name="Hoja2" sheetId="2" state="hidden" r:id="rId4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1" i="1" l="1"/>
  <c r="B156" i="1"/>
  <c r="B139" i="1"/>
  <c r="G106" i="5" l="1"/>
  <c r="G105" i="5"/>
  <c r="G107" i="5" s="1"/>
  <c r="G98" i="1"/>
  <c r="G99" i="1" s="1"/>
  <c r="G10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30948EE2-70DF-4554-B074-44BDD74EF80A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33BF7096-43CA-4888-87B1-6B06B6D8AA0C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A0C5AEF9-A521-4548-9067-EAB6C684EF3A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461C4C3F-740F-4C25-B49A-919492104803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<sst xmlns="http://schemas.openxmlformats.org/spreadsheetml/2006/main" count="614" uniqueCount="339">
  <si>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</si>
  <si>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</si>
  <si>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</si>
  <si>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</si>
  <si>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</si>
  <si>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</si>
  <si>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</si>
  <si>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</si>
  <si>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</si>
  <si>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</si>
  <si>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</si>
  <si>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</si>
  <si>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</si>
  <si>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</si>
  <si>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</si>
  <si>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</si>
  <si>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</si>
  <si>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</si>
  <si>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</si>
  <si>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</si>
  <si>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</si>
  <si>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</si>
  <si>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</si>
  <si>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</si>
  <si>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</si>
  <si>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</si>
  <si>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</si>
  <si>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</si>
  <si>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</si>
  <si>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CANTIDAD</t>
  </si>
  <si>
    <t>Fecha de elaboración:</t>
  </si>
  <si>
    <t xml:space="preserve">Vigente hasta: </t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</si>
  <si>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</si>
  <si>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</si>
  <si>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</si>
  <si>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</si>
  <si>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</si>
  <si>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</si>
  <si>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</si>
  <si>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</si>
  <si>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</si>
  <si>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</si>
  <si>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</si>
  <si>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</si>
  <si>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</si>
  <si>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</si>
  <si>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</si>
  <si>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</si>
  <si>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</si>
  <si>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</si>
  <si>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</si>
  <si>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</si>
  <si>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</si>
  <si>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</si>
  <si>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</si>
  <si>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</si>
  <si>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</si>
  <si>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ADAPTADORES ANCLAJE RAPIDO</t>
  </si>
  <si>
    <t>INSRUMENTADOR</t>
  </si>
  <si>
    <t>CLINICA GUAYAQUIL</t>
  </si>
  <si>
    <t>Calle 8 401, Guayaquil 090313</t>
  </si>
  <si>
    <t xml:space="preserve">DR. LAMORU </t>
  </si>
  <si>
    <t xml:space="preserve">08:00AM </t>
  </si>
  <si>
    <t>YEPEZ YEPEZ ELIZANDRO PATRICIO</t>
  </si>
  <si>
    <t>071810170</t>
  </si>
  <si>
    <t>CLAVO PFNA 9*170mm TIT.</t>
  </si>
  <si>
    <t>971810200</t>
  </si>
  <si>
    <t>M2234147</t>
  </si>
  <si>
    <t>CLAVO PFNA 9*200mm TIT.</t>
  </si>
  <si>
    <t>071810240</t>
  </si>
  <si>
    <t>M2234146</t>
  </si>
  <si>
    <t>CLAVO PFNA 9*240mm TIT.</t>
  </si>
  <si>
    <t>071820170</t>
  </si>
  <si>
    <t xml:space="preserve">CLAVO PFNA 10*170mm TIT. </t>
  </si>
  <si>
    <t>071820200</t>
  </si>
  <si>
    <t>200718203</t>
  </si>
  <si>
    <t xml:space="preserve">CLAVO PFNA 10*200mm TIT. </t>
  </si>
  <si>
    <t>071820240</t>
  </si>
  <si>
    <t xml:space="preserve">CLAVO PFNA 10*240mm TIT. </t>
  </si>
  <si>
    <t>071830170</t>
  </si>
  <si>
    <t>A2301555</t>
  </si>
  <si>
    <t xml:space="preserve">CLAVO PFNA 11*170mm TIT. </t>
  </si>
  <si>
    <t>071830200</t>
  </si>
  <si>
    <t>CLAVO PFNA 11*200mm TIT.</t>
  </si>
  <si>
    <t>071830240</t>
  </si>
  <si>
    <t>CLAVO PFNA 11*240mm TIT.</t>
  </si>
  <si>
    <t>071840170</t>
  </si>
  <si>
    <t xml:space="preserve">CLAVO PFNA 12*170mm TIT. </t>
  </si>
  <si>
    <t>071840200</t>
  </si>
  <si>
    <t>CLAVO PFNA 12*200mm TIT.</t>
  </si>
  <si>
    <t>071840240</t>
  </si>
  <si>
    <t>180718402</t>
  </si>
  <si>
    <t>CLAVO PFNA 12*240mm TIT.</t>
  </si>
  <si>
    <t>T071851300</t>
  </si>
  <si>
    <t>CLAVO PFNA 9*300mm IZQ TIT.</t>
  </si>
  <si>
    <t>T071852300</t>
  </si>
  <si>
    <t>CLAVO PFNA 9*300mm DER TIT.</t>
  </si>
  <si>
    <t>T071851340</t>
  </si>
  <si>
    <t xml:space="preserve">CLAVO PFNA  9*340mm IZQ TIT. </t>
  </si>
  <si>
    <t>T071852340</t>
  </si>
  <si>
    <t xml:space="preserve">CLAVO PFNA 9*340mm DER TIT. </t>
  </si>
  <si>
    <t>T071851380</t>
  </si>
  <si>
    <t xml:space="preserve">CLAVO PFNA 9*380mm IZQ TIT. </t>
  </si>
  <si>
    <t>T071852380</t>
  </si>
  <si>
    <t>1506071854</t>
  </si>
  <si>
    <t>CLAVO PFNA 9*380mm DER TIT.</t>
  </si>
  <si>
    <t>T071851420</t>
  </si>
  <si>
    <t xml:space="preserve">CLAVO PFNA 9*420mm IZQ TIT.  </t>
  </si>
  <si>
    <t>T071852420</t>
  </si>
  <si>
    <t>CLAVO PFNA 9*420mm DER TIT.</t>
  </si>
  <si>
    <t>T701861300</t>
  </si>
  <si>
    <t xml:space="preserve">CLAVO PFNA 10*300mm IZQ TIT.  </t>
  </si>
  <si>
    <t>T071862300</t>
  </si>
  <si>
    <t xml:space="preserve">CLAVO PFNA 10*300mm DER TIT.  </t>
  </si>
  <si>
    <t>T071861340</t>
  </si>
  <si>
    <t xml:space="preserve">CLAVO PFNA 10*340mm IZQ TIT. </t>
  </si>
  <si>
    <t>T071862340</t>
  </si>
  <si>
    <t xml:space="preserve">CLAVO PFNA 10*340mm DER TIT. </t>
  </si>
  <si>
    <t>T071861380</t>
  </si>
  <si>
    <t xml:space="preserve">CLAVO PFNA 10*380mm IZQ  TIT. </t>
  </si>
  <si>
    <t>T071862380</t>
  </si>
  <si>
    <t xml:space="preserve">CLAVO PFNA 10*380mm DER TIT. </t>
  </si>
  <si>
    <t>T071861420</t>
  </si>
  <si>
    <t>CLAVO PFNA 10*420mm IZQ TIT.</t>
  </si>
  <si>
    <t>T071862420</t>
  </si>
  <si>
    <t xml:space="preserve">CLAVO PFNA 10*420mm DER TIT. </t>
  </si>
  <si>
    <t>T071871300</t>
  </si>
  <si>
    <t xml:space="preserve">CLAVO PFNA 11*300mm IZQ TIT. </t>
  </si>
  <si>
    <t>T071872300</t>
  </si>
  <si>
    <t xml:space="preserve">CLAVO PFNA 11*300mm DER TIT.  </t>
  </si>
  <si>
    <t>T071871340</t>
  </si>
  <si>
    <t xml:space="preserve">CLAVO PFNA 11*340mm IZQ TIT. </t>
  </si>
  <si>
    <t>T071872340</t>
  </si>
  <si>
    <t xml:space="preserve">CLAVO PFNA 11*340mm DER TIT. </t>
  </si>
  <si>
    <t>T071871380</t>
  </si>
  <si>
    <t xml:space="preserve">CLAVO PFNA 11*380mm IZQ TIT. </t>
  </si>
  <si>
    <t>T071872380</t>
  </si>
  <si>
    <t xml:space="preserve">CLAVO PFNA 11*380mm DER TIT.  </t>
  </si>
  <si>
    <t>T071872420</t>
  </si>
  <si>
    <t>CLAVO PFNA 11*420mm DER TIT.</t>
  </si>
  <si>
    <t>T071871420</t>
  </si>
  <si>
    <t xml:space="preserve">CLAVO PFNA 11*420mm IZQ TIT.  </t>
  </si>
  <si>
    <t>T071881300</t>
  </si>
  <si>
    <t xml:space="preserve">CLAVO PFNA 12*300mm IZQ TIT. </t>
  </si>
  <si>
    <t>T071882300</t>
  </si>
  <si>
    <t xml:space="preserve">CLAVO PFNA 12*300mm DER TIT. </t>
  </si>
  <si>
    <t>T071881340</t>
  </si>
  <si>
    <t xml:space="preserve">CLAVO PFNA 12*340mm IZQ TIT. </t>
  </si>
  <si>
    <t>T071882340</t>
  </si>
  <si>
    <t xml:space="preserve">CLAVO PFNA 12*340mm DER TIT. </t>
  </si>
  <si>
    <t>T071881380</t>
  </si>
  <si>
    <t xml:space="preserve">CLAVO PFNA 12*380mm IZQ TIT. </t>
  </si>
  <si>
    <t>T071882380</t>
  </si>
  <si>
    <t xml:space="preserve">CLAVO PFNA 12*380mm DER TIT. </t>
  </si>
  <si>
    <t>T071881420</t>
  </si>
  <si>
    <t xml:space="preserve">CLAVO PFNA 12*420mm IZQ TIT. </t>
  </si>
  <si>
    <t>T071882420</t>
  </si>
  <si>
    <t xml:space="preserve">CLAVO PFNA 12*420mm DER TIT. </t>
  </si>
  <si>
    <t>070370075</t>
  </si>
  <si>
    <t>1706070375</t>
  </si>
  <si>
    <t xml:space="preserve">HOJA HELICOIDAL PFNA *75mm TITANIO </t>
  </si>
  <si>
    <t>070370080</t>
  </si>
  <si>
    <t>H2107556</t>
  </si>
  <si>
    <t xml:space="preserve">HOJA HELICOIDAL PFNA *80mm TITANIO </t>
  </si>
  <si>
    <t>070370085</t>
  </si>
  <si>
    <t>H2104930</t>
  </si>
  <si>
    <t>HOJA HELICOIDAL PFNA *85mm TITANIO</t>
  </si>
  <si>
    <t>070370090</t>
  </si>
  <si>
    <t>J2106226</t>
  </si>
  <si>
    <t>HOJA HELICOIDAL PFNA *90mm TITANIO</t>
  </si>
  <si>
    <t>070370095</t>
  </si>
  <si>
    <t>H2104929</t>
  </si>
  <si>
    <t>HOJA HELICOIDAL PFNA *95mm TITANIO</t>
  </si>
  <si>
    <t>070370100</t>
  </si>
  <si>
    <t>H2200684</t>
  </si>
  <si>
    <t>HOJA HELICOIDAL PFNA *100mm TITANIO</t>
  </si>
  <si>
    <t>070370105</t>
  </si>
  <si>
    <t>C200703758</t>
  </si>
  <si>
    <t>HOJA HELICOIDAL PFNA *105mm TITANIO</t>
  </si>
  <si>
    <t>070370110</t>
  </si>
  <si>
    <t>HOJA HELICOIDAL PFNA *110mm TITANIO</t>
  </si>
  <si>
    <t>070370115</t>
  </si>
  <si>
    <t>E2201946</t>
  </si>
  <si>
    <t>HOJA HELICOIDAL PFNA *115mm TITANIO</t>
  </si>
  <si>
    <t>070370120</t>
  </si>
  <si>
    <t>C200703755</t>
  </si>
  <si>
    <t>HOJA HELICOIDAL PFNA *120mm TITANIO</t>
  </si>
  <si>
    <t>070120025</t>
  </si>
  <si>
    <t>1604070121</t>
  </si>
  <si>
    <t>TORNILLO DE BLOQUEO 4.9 *25mm TITANIO</t>
  </si>
  <si>
    <t>070120030</t>
  </si>
  <si>
    <t>M2236149</t>
  </si>
  <si>
    <t>TORNILLO DE BLOQUEO 4.9 *30mm TITANIO</t>
  </si>
  <si>
    <t>070120035</t>
  </si>
  <si>
    <t>F2203443</t>
  </si>
  <si>
    <t>TORNILLO DE BLOQUEO 4.9 *35mm TITANIO</t>
  </si>
  <si>
    <t>070120040</t>
  </si>
  <si>
    <t>M2234104</t>
  </si>
  <si>
    <t>TORNILLO DE BLOQUEO 4.9 *40mm TITANIO</t>
  </si>
  <si>
    <t>070120045</t>
  </si>
  <si>
    <t>F2200157</t>
  </si>
  <si>
    <t>TORNILLO DE BLOQUEO 4.9 *45mm TITANIO</t>
  </si>
  <si>
    <t>070120050</t>
  </si>
  <si>
    <t>190701221</t>
  </si>
  <si>
    <t>070120055</t>
  </si>
  <si>
    <t>TORNILLO DE BLOQUEO 4.9 *55mm TITANIO</t>
  </si>
  <si>
    <t>070120060</t>
  </si>
  <si>
    <t>190701213</t>
  </si>
  <si>
    <t>070120065</t>
  </si>
  <si>
    <t>190701208</t>
  </si>
  <si>
    <t>TORNILLO DE BLOQUEO 4.9 *65mm TITANIO</t>
  </si>
  <si>
    <t>070120070</t>
  </si>
  <si>
    <t>180701201</t>
  </si>
  <si>
    <t>TORNILLO DE BLOQUEO 4.9 *70mm TITANIO</t>
  </si>
  <si>
    <t>070120075</t>
  </si>
  <si>
    <t>TORNILLO DE BLOQUEO 4.9 *75mm TITANIO</t>
  </si>
  <si>
    <t>070120080</t>
  </si>
  <si>
    <t>190701206</t>
  </si>
  <si>
    <t>TORNILLO DE BLOQUEO 4.9 *80mm TITANIO</t>
  </si>
  <si>
    <t>070120085</t>
  </si>
  <si>
    <t>TORNILLO DE BLOQUEO 4.9 *85mm TITANIO</t>
  </si>
  <si>
    <t>INSTRUMENTAL PFNA  TITANIO # 2</t>
  </si>
  <si>
    <t>DESCRIPCION</t>
  </si>
  <si>
    <t>BANDEJA SUPERIOR</t>
  </si>
  <si>
    <t>Tornillo de Conexión para Clavo de PFN y de Recon</t>
  </si>
  <si>
    <t xml:space="preserve">Llave en T </t>
  </si>
  <si>
    <t xml:space="preserve">Arco de Insercion </t>
  </si>
  <si>
    <t xml:space="preserve">Mango en T de Anclaje Rapido </t>
  </si>
  <si>
    <t xml:space="preserve">Protector de tejidos mas camisa PARA  PINES </t>
  </si>
  <si>
    <t>Regla Medidora</t>
  </si>
  <si>
    <t>Broca de Canulado para Perno de Bloqueo, Canulado de ∅ 8mm</t>
  </si>
  <si>
    <t xml:space="preserve">Punzon Curvo Canulado </t>
  </si>
  <si>
    <t xml:space="preserve">Protector de tejidos </t>
  </si>
  <si>
    <t xml:space="preserve">Martillo macizo </t>
  </si>
  <si>
    <t>Llave Doble Boca</t>
  </si>
  <si>
    <t xml:space="preserve">Extractor Impactor de Clavo 2 PIEZAS CORTO </t>
  </si>
  <si>
    <t>BANDEJA 2</t>
  </si>
  <si>
    <t>6uía Proximal y Distal (Arco de Inserción para Proximal y Distal) para Clavo Femoral Proximal (PFN) y Recon (Reconstrucción)</t>
  </si>
  <si>
    <t>Medidor de Profundidad</t>
  </si>
  <si>
    <t xml:space="preserve">Llave Acero Inoxidable, 10mm </t>
  </si>
  <si>
    <t>Alambre guía roscado de 2.0 mm de diámetro</t>
  </si>
  <si>
    <t>Destornillador Hexagonal Canulado, Extra Larga, Punta de ∅ 3.5mm</t>
  </si>
  <si>
    <t>Destornillador hexagonal Extra Larga, de ∅ 3.5 mm</t>
  </si>
  <si>
    <t xml:space="preserve">Broca de dos aristas de corte, para mandril de tres mordazas,
∅4.2 x 300mm con tope </t>
  </si>
  <si>
    <t xml:space="preserve">Broca de dos aristas de corte, para mandril de tres mordazas,
∅4.2 x 300mm </t>
  </si>
  <si>
    <t>Broca de 4.0mm</t>
  </si>
  <si>
    <t>Vaina de Protección para pernos de bloqueo de 6 mm</t>
  </si>
  <si>
    <t>Vaina de Protección para pernos de bloqueo de 8 mm</t>
  </si>
  <si>
    <t>Vaina de sujeción para Aguja Guía, 2.0mm x 7.0mm</t>
  </si>
  <si>
    <t>Vaina de sujeción para Aguja Guía, 2.0mm x 9.0mm</t>
  </si>
  <si>
    <t>Vaina de Protección para Perno de Bloqueo ∅ 4.5mm</t>
  </si>
  <si>
    <t>Llave UNIVERSAL tubular de 10.0 mm</t>
  </si>
  <si>
    <t>BANDEJA TRES</t>
  </si>
  <si>
    <t>Atornillador de Hoja Helicoidal</t>
  </si>
  <si>
    <t>Extractor de Hoja Helicoidal</t>
  </si>
  <si>
    <t xml:space="preserve">Broca Calibrada de Hoja Helicoidal Con Tope </t>
  </si>
  <si>
    <t>GUIAS 3.2 mm ROSCADAS</t>
  </si>
  <si>
    <t xml:space="preserve">Medidor de Guia </t>
  </si>
  <si>
    <t xml:space="preserve">Llave Acero Inoxidable, 10mm recta </t>
  </si>
  <si>
    <t xml:space="preserve">Tornillo de sujecion Largo </t>
  </si>
  <si>
    <t xml:space="preserve">3 Piezas </t>
  </si>
  <si>
    <t xml:space="preserve">Guia de Broca y Pin de Hoja Helicoidal </t>
  </si>
  <si>
    <t xml:space="preserve">Regleta Proximal </t>
  </si>
  <si>
    <t xml:space="preserve">Mango porta Guias </t>
  </si>
  <si>
    <t>BROCA CORTA</t>
  </si>
  <si>
    <t>BANDEJA INFERIOR</t>
  </si>
  <si>
    <t>BRAZO DIRECIONAL ESTIRADO PARA PFNA</t>
  </si>
  <si>
    <t>TRONILLOS DE CONEXIÓN</t>
  </si>
  <si>
    <t>EJE DEL BRAZO DIRECCIONAL ESTIRABLE PARA PFNA LARGA</t>
  </si>
  <si>
    <t>GUIA DE BROCA PARA ALAMBRE GUIA</t>
  </si>
  <si>
    <t>TORNILLOS DE CONEXION</t>
  </si>
  <si>
    <t>LLAVE EN L HEXAGONAL 5.0</t>
  </si>
  <si>
    <t>BRAZO DIRECCIONAL EXTENSIBLE PFNA DISTAL</t>
  </si>
  <si>
    <t>CLIP EN U</t>
  </si>
  <si>
    <t>GUIA DE LIMPIEZA PARA INSTRUMENTOS CANULADOS</t>
  </si>
  <si>
    <t>GUIA DE MARTILLO PARA EXTRAER PFNA M8*1</t>
  </si>
  <si>
    <t>MARTILLO DESLIZANTE</t>
  </si>
  <si>
    <t>PASADOR DE CALIBRACION ∅8.1 /∅5.0</t>
  </si>
  <si>
    <t>BROCA CON CABEZA PLANA  ∅5.0MM</t>
  </si>
  <si>
    <t>CAMISA DE BROCA PARA PASADOR DE CALIBRACION</t>
  </si>
  <si>
    <t>BROCA 5.0mm</t>
  </si>
  <si>
    <t>TROCAR PARA PIN DE CALIBRACION</t>
  </si>
  <si>
    <t>CAMISA DE FIJACION PARA TROCAR</t>
  </si>
  <si>
    <t>REAMER FLEXIBLES # 8.5,9, 9.5,10,10.5, 11,11.5,12,12.5,13</t>
  </si>
  <si>
    <t>GUIAS LARGAS</t>
  </si>
  <si>
    <t xml:space="preserve">LLAVE JACOBS </t>
  </si>
  <si>
    <t>PORTA BATERIA</t>
  </si>
  <si>
    <t>BATERIAS NEGRAS #1Y #2</t>
  </si>
  <si>
    <t xml:space="preserve">PINZA CORTADORA </t>
  </si>
  <si>
    <t xml:space="preserve">SPPAT </t>
  </si>
  <si>
    <t>184.310</t>
  </si>
  <si>
    <t>210936270</t>
  </si>
  <si>
    <t xml:space="preserve">METRO DE ALAMBRE QUIRURGICO *0.6mm ACERO </t>
  </si>
  <si>
    <t>184.313</t>
  </si>
  <si>
    <t xml:space="preserve">METRO DE ALAMBRE QUIRURGICO *1.0mm ACERO </t>
  </si>
  <si>
    <t>184.301</t>
  </si>
  <si>
    <t>210936271</t>
  </si>
  <si>
    <t xml:space="preserve">METRO DE ALAMBRE QUIRURGICO *1.2mm ACERO </t>
  </si>
  <si>
    <t>184.303</t>
  </si>
  <si>
    <t>210936961</t>
  </si>
  <si>
    <t xml:space="preserve">METRO DE ALAMBRE QUIRURGICO *1.5mm ACERO </t>
  </si>
  <si>
    <t>184.305</t>
  </si>
  <si>
    <t>211037899</t>
  </si>
  <si>
    <t xml:space="preserve">METRO DE ALAMBRE QUIRURGICO *1.8mm ACERO </t>
  </si>
  <si>
    <t>184.307</t>
  </si>
  <si>
    <t>210936962</t>
  </si>
  <si>
    <t xml:space="preserve">METRO DE ALAMBRE QUIRURGICO *2.0mm ACERO </t>
  </si>
  <si>
    <t>MOTOR CANULADO #1</t>
  </si>
  <si>
    <t xml:space="preserve">2:00PM </t>
  </si>
  <si>
    <t>071810200</t>
  </si>
  <si>
    <t>200718502</t>
  </si>
  <si>
    <t>T071861300</t>
  </si>
  <si>
    <t>H2107530</t>
  </si>
  <si>
    <t>H2200679</t>
  </si>
  <si>
    <t>TORNILLO DE BLOQUEO 4.9 *50mm TITANIO</t>
  </si>
  <si>
    <t>TORNILLO DE BLOQUEO 4.9 *60mm TITANIO</t>
  </si>
  <si>
    <t>INSTRUMENTAL PFNA  TITANIO # 1</t>
  </si>
  <si>
    <t xml:space="preserve">Protector de tejidos mas camisa </t>
  </si>
  <si>
    <t xml:space="preserve">Extractor Impactor de Clavo </t>
  </si>
  <si>
    <t>Universale Llave tubular de 10.0 mm</t>
  </si>
  <si>
    <t>REAMER FLEXIBLES # 9, 10, 11,11.5,12,13</t>
  </si>
  <si>
    <t>BATERIAS NEGRAS #6 Y #7</t>
  </si>
  <si>
    <t>EQUIPO BASICO 4.5 # 4</t>
  </si>
  <si>
    <t>SEPARADORES DE BENNET</t>
  </si>
  <si>
    <t>SEPARADORES DE HIBS</t>
  </si>
  <si>
    <t>SEPARADORES HOMMAN MEDIANOS</t>
  </si>
  <si>
    <t xml:space="preserve">SEPARADORES HOMMAN FINOS </t>
  </si>
  <si>
    <t>SEPARADORES HOMMAN FINOS LARGOS</t>
  </si>
  <si>
    <t>PINZAS REDUCTORAS CANGREJO ARANDELA</t>
  </si>
  <si>
    <t>PINZA VERBRUGUER ARANDELA</t>
  </si>
  <si>
    <t>GUBIA</t>
  </si>
  <si>
    <t>PINZA EN PUNTA CREMALLERA</t>
  </si>
  <si>
    <t>DESPERIO</t>
  </si>
  <si>
    <t>CURETA LARGA</t>
  </si>
  <si>
    <t>PASADOR DE ALAMBRE</t>
  </si>
  <si>
    <t>MANGO TORQUE NEGRO</t>
  </si>
  <si>
    <t>MARTILLO</t>
  </si>
  <si>
    <t>ATORNILLADOR HEXAGONAL 4.5</t>
  </si>
  <si>
    <t>OSTEOTOMO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</si>
</sst>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2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6" tint="0.59999389629810485"/>
        <bgColor indexed="0"/>
      </patternFill>
    </fill>
    <fill>
      <patternFill patternType="solid">
        <fgColor theme="0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7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09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8" borderId="1" xfId="0" applyFont="1" applyFill="1" applyBorder="1" applyAlignment="1" applyProtection="1">
      <alignment horizontal="center" wrapText="1" readingOrder="1"/>
      <protection locked="0"/>
    </xf>
    <xf numFmtId="0" fontId="25" fillId="8" borderId="1" xfId="0" applyFont="1" applyFill="1" applyBorder="1" applyAlignment="1" applyProtection="1">
      <alignment horizontal="center" vertic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1" fillId="2" borderId="1" xfId="0" applyFont="1" applyFill="1" applyBorder="1"/>
    <xf numFmtId="0" fontId="1" fillId="7" borderId="1" xfId="0" applyFont="1" applyFill="1" applyBorder="1"/>
    <xf numFmtId="0" fontId="1" fillId="0" borderId="1" xfId="0" applyFont="1" applyBorder="1" applyAlignment="1">
      <alignment wrapText="1"/>
    </xf>
    <xf numFmtId="0" fontId="26" fillId="0" borderId="1" xfId="0" applyFont="1" applyBorder="1" applyAlignment="1" applyProtection="1">
      <alignment horizontal="left" readingOrder="1"/>
      <protection locked="0"/>
    </xf>
    <xf numFmtId="0" fontId="26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169" fontId="19" fillId="0" borderId="0" xfId="1" applyNumberFormat="1" applyFont="1" applyAlignment="1">
      <alignment wrapText="1"/>
    </xf>
    <xf numFmtId="0" fontId="26" fillId="0" borderId="0" xfId="0" applyFont="1"/>
    <xf numFmtId="0" fontId="26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169" fontId="1" fillId="0" borderId="1" xfId="12" applyNumberFormat="1" applyFont="1" applyBorder="1" applyAlignment="1">
      <alignment horizontal="right"/>
    </xf>
    <xf numFmtId="169" fontId="19" fillId="0" borderId="0" xfId="12" applyNumberFormat="1" applyFont="1" applyBorder="1" applyAlignment="1"/>
    <xf numFmtId="0" fontId="1" fillId="0" borderId="3" xfId="0" applyFont="1" applyBorder="1"/>
    <xf numFmtId="0" fontId="1" fillId="0" borderId="0" xfId="0" applyFont="1"/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 wrapText="1"/>
    </xf>
    <xf numFmtId="0" fontId="9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horizontal="center" vertical="center"/>
    </xf>
    <xf numFmtId="49" fontId="12" fillId="5" borderId="1" xfId="0" applyNumberFormat="1" applyFont="1" applyFill="1" applyBorder="1" applyAlignment="1">
      <alignment horizontal="center"/>
    </xf>
    <xf numFmtId="49" fontId="12" fillId="5" borderId="1" xfId="0" applyNumberFormat="1" applyFont="1" applyFill="1" applyBorder="1" applyAlignment="1">
      <alignment horizontal="left"/>
    </xf>
    <xf numFmtId="0" fontId="7" fillId="2" borderId="1" xfId="0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left"/>
    </xf>
    <xf numFmtId="0" fontId="6" fillId="2" borderId="1" xfId="0" applyFont="1" applyFill="1" applyBorder="1" applyAlignment="1">
      <alignment horizontal="center"/>
    </xf>
    <xf numFmtId="0" fontId="28" fillId="9" borderId="11" xfId="0" applyFont="1" applyFill="1" applyBorder="1"/>
    <xf numFmtId="49" fontId="12" fillId="5" borderId="1" xfId="0" applyNumberFormat="1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/>
    </xf>
    <xf numFmtId="0" fontId="7" fillId="2" borderId="10" xfId="0" applyFont="1" applyFill="1" applyBorder="1"/>
    <xf numFmtId="0" fontId="7" fillId="5" borderId="1" xfId="0" applyFont="1" applyFill="1" applyBorder="1"/>
    <xf numFmtId="0" fontId="7" fillId="2" borderId="1" xfId="0" applyFont="1" applyFill="1" applyBorder="1"/>
    <xf numFmtId="0" fontId="24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Border="1" applyAlignment="1">
      <alignment horizontal="center"/>
    </xf>
    <xf numFmtId="0" fontId="27" fillId="0" borderId="1" xfId="0" applyFont="1" applyBorder="1" applyAlignment="1">
      <alignment horizontal="left" wrapText="1"/>
    </xf>
    <xf numFmtId="0" fontId="27" fillId="0" borderId="1" xfId="0" applyFont="1" applyBorder="1" applyAlignment="1">
      <alignment horizontal="left"/>
    </xf>
    <xf numFmtId="0" fontId="12" fillId="0" borderId="1" xfId="0" applyFont="1" applyBorder="1" applyAlignment="1">
      <alignment horizontal="left" wrapText="1"/>
    </xf>
    <xf numFmtId="0" fontId="24" fillId="0" borderId="1" xfId="0" applyFont="1" applyBorder="1"/>
    <xf numFmtId="0" fontId="12" fillId="0" borderId="1" xfId="0" applyFont="1" applyBorder="1" applyAlignment="1">
      <alignment horizontal="center"/>
    </xf>
    <xf numFmtId="0" fontId="12" fillId="5" borderId="1" xfId="0" applyFont="1" applyFill="1" applyBorder="1" applyAlignment="1">
      <alignment horizontal="left"/>
    </xf>
    <xf numFmtId="1" fontId="12" fillId="5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0" fillId="0" borderId="1" xfId="0" applyBorder="1"/>
    <xf numFmtId="0" fontId="24" fillId="0" borderId="0" xfId="0" applyFont="1" applyAlignment="1">
      <alignment horizontal="center"/>
    </xf>
    <xf numFmtId="1" fontId="29" fillId="0" borderId="1" xfId="0" applyNumberFormat="1" applyFont="1" applyBorder="1" applyAlignment="1">
      <alignment horizontal="center"/>
    </xf>
    <xf numFmtId="1" fontId="30" fillId="0" borderId="1" xfId="0" applyNumberFormat="1" applyFont="1" applyBorder="1" applyAlignment="1">
      <alignment horizontal="center"/>
    </xf>
    <xf numFmtId="0" fontId="30" fillId="0" borderId="1" xfId="0" applyFont="1" applyBorder="1" applyAlignment="1" applyProtection="1">
      <alignment readingOrder="1"/>
      <protection locked="0"/>
    </xf>
    <xf numFmtId="1" fontId="24" fillId="0" borderId="1" xfId="0" applyNumberFormat="1" applyFont="1" applyBorder="1" applyAlignment="1">
      <alignment horizont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0" fontId="6" fillId="0" borderId="0" xfId="0" applyFont="1" applyProtection="1">
      <protection locked="0"/>
    </xf>
  </cellXfs>
  <cellStyles count="17">
    <cellStyle name="Moneda [0] 2" xfId="9" xr:uid="{00000000-0005-0000-0000-000000000000}"/>
    <cellStyle name="Moneda 10" xfId="16" xr:uid="{9AD6CDC1-18CE-4692-8300-1355605D383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Moneda 8" xfId="14" xr:uid="{ED009067-4380-42CD-835A-E22F1396AD5E}"/>
    <cellStyle name="Moneda 9" xfId="15" xr:uid="{A524ADA8-B2A4-4248-8946-1951F35951C6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2" name="Imagen 1">
          <a:extLst>
            <a:ext uri="{FF2B5EF4-FFF2-40B4-BE49-F238E27FC236}">
              <a16:creationId xmlns:a16="http://schemas.microsoft.com/office/drawing/2014/main" id="{B42A2886-5D55-48A2-81C1-6466C221C6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4501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3" name="Marco 2">
          <a:extLst>
            <a:ext uri="{FF2B5EF4-FFF2-40B4-BE49-F238E27FC236}">
              <a16:creationId xmlns:a16="http://schemas.microsoft.com/office/drawing/2014/main" id="{1BE785AC-CFB2-44B8-8E15-137F13A85E22}"/>
            </a:ext>
          </a:extLst>
        </xdr:cNvPr>
        <xdr:cNvSpPr/>
      </xdr:nvSpPr>
      <xdr:spPr>
        <a:xfrm>
          <a:off x="12757717" y="236426"/>
          <a:ext cx="1723004" cy="371133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233"/>
  <sheetViews>
    <sheetView showGridLines="0" tabSelected="1" zoomScale="80" zoomScaleNormal="80" zoomScaleSheetLayoutView="100" zoomScalePageLayoutView="80" workbookViewId="0">
      <pane xSplit="2" ySplit="5" topLeftCell="C198" activePane="bottomRight" state="frozen"/>
      <selection pane="topRight" activeCell="C1" sqref="C1"/>
      <selection pane="bottomLeft" activeCell="A6" sqref="A6"/>
      <selection pane="bottomRight" sqref="A1:E216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5" customWidth="1"/>
    <col min="3" max="3" width="86.7109375" style="34" bestFit="1" customWidth="1"/>
    <col min="4" max="4" width="19.85546875" style="34" customWidth="1"/>
    <col min="5" max="5" width="16.5703125" style="34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07" t="s">
        <v>24</v>
      </c>
      <c r="D2" s="105" t="s">
        <v>23</v>
      </c>
      <c r="E2" s="105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07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06" t="s">
        <v>25</v>
      </c>
      <c r="D4" s="9" t="s">
        <v>30</v>
      </c>
      <c r="E4" s="11">
        <v>44979</v>
      </c>
      <c r="F4" s="3"/>
      <c r="G4" s="10"/>
      <c r="H4" s="10"/>
      <c r="I4" s="12">
        <v>81</v>
      </c>
      <c r="J4" s="10"/>
      <c r="K4" s="10"/>
      <c r="L4" s="5"/>
    </row>
    <row r="5" spans="1:15" s="6" customFormat="1" ht="27.75" customHeight="1" x14ac:dyDescent="0.35">
      <c r="A5" s="13"/>
      <c r="B5" s="14"/>
      <c r="C5" s="106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04"/>
      <c r="N5" s="104"/>
      <c r="O5" s="10"/>
    </row>
    <row r="6" spans="1:15" ht="20.100000000000001" customHeight="1" x14ac:dyDescent="0.25">
      <c r="A6" s="17"/>
      <c r="B6" s="17"/>
      <c r="C6" s="17"/>
      <c r="D6" s="17"/>
      <c r="E6" s="17"/>
      <c r="M6" s="104"/>
      <c r="N6" s="104"/>
    </row>
    <row r="7" spans="1:15" ht="20.100000000000001" customHeight="1" x14ac:dyDescent="0.2">
      <c r="A7" s="18" t="s">
        <v>0</v>
      </c>
      <c r="B7" s="18"/>
      <c r="C7" s="24">
        <v>45059</v>
      </c>
      <c r="D7" s="18" t="s">
        <v>1</v>
      </c>
      <c r="E7" s="19">
        <v>20230500553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69" t="s">
        <v>59</v>
      </c>
      <c r="D9" s="21" t="s">
        <v>3</v>
      </c>
      <c r="E9" s="70">
        <v>20230200079</v>
      </c>
      <c r="M9" s="16"/>
      <c r="N9" s="16"/>
    </row>
    <row r="10" spans="1:15" ht="9" customHeight="1" x14ac:dyDescent="0.25">
      <c r="A10" s="20"/>
      <c r="B10" s="20"/>
      <c r="C10" s="67"/>
      <c r="D10" s="20"/>
      <c r="E10" s="20"/>
      <c r="M10" s="16"/>
      <c r="N10" s="16"/>
    </row>
    <row r="11" spans="1:15" ht="20.100000000000001" customHeight="1" x14ac:dyDescent="0.2">
      <c r="A11" s="102" t="s">
        <v>21</v>
      </c>
      <c r="B11" s="103"/>
      <c r="C11" s="69" t="s">
        <v>59</v>
      </c>
      <c r="D11" s="21" t="s">
        <v>22</v>
      </c>
      <c r="E11" s="23" t="s">
        <v>28</v>
      </c>
      <c r="M11" s="16"/>
      <c r="N11" s="16"/>
    </row>
    <row r="12" spans="1:15" ht="9.75" customHeight="1" x14ac:dyDescent="0.25">
      <c r="A12" s="20"/>
      <c r="B12" s="20"/>
      <c r="C12" s="67"/>
      <c r="D12" s="20"/>
      <c r="E12" s="20"/>
      <c r="M12" s="16"/>
      <c r="N12" s="16"/>
    </row>
    <row r="13" spans="1:15" ht="20.100000000000001" customHeight="1" x14ac:dyDescent="0.25">
      <c r="A13" s="18" t="s">
        <v>4</v>
      </c>
      <c r="B13" s="18"/>
      <c r="C13" s="68" t="s">
        <v>60</v>
      </c>
      <c r="D13" s="21" t="s">
        <v>5</v>
      </c>
      <c r="E13" s="22" t="s">
        <v>27</v>
      </c>
      <c r="I13" s="108"/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4">
        <v>45059</v>
      </c>
      <c r="D15" s="21" t="s">
        <v>7</v>
      </c>
      <c r="E15" s="25" t="s">
        <v>308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2" t="s">
        <v>61</v>
      </c>
      <c r="D17" s="26"/>
      <c r="E17" s="27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2"/>
      <c r="D19" s="21" t="s">
        <v>19</v>
      </c>
      <c r="E19" s="25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8"/>
      <c r="D21" s="29"/>
      <c r="E21" s="30"/>
      <c r="M21" s="16"/>
      <c r="N21" s="16"/>
    </row>
    <row r="22" spans="1:14" ht="11.25" customHeight="1" x14ac:dyDescent="0.2">
      <c r="A22" s="31"/>
      <c r="B22" s="32"/>
      <c r="C22" s="31"/>
      <c r="D22" s="31"/>
      <c r="E22" s="31"/>
      <c r="G22" s="33"/>
      <c r="H22" s="33"/>
    </row>
    <row r="23" spans="1:14" ht="35.25" customHeight="1" x14ac:dyDescent="0.25">
      <c r="A23" s="37" t="s">
        <v>10</v>
      </c>
      <c r="B23" s="38" t="s">
        <v>11</v>
      </c>
      <c r="C23" s="38" t="s">
        <v>12</v>
      </c>
      <c r="D23" s="38" t="s">
        <v>13</v>
      </c>
      <c r="E23" s="38" t="s">
        <v>14</v>
      </c>
      <c r="F23" s="39" t="s">
        <v>32</v>
      </c>
      <c r="G23" s="40" t="s">
        <v>33</v>
      </c>
    </row>
    <row r="24" spans="1:14" ht="20.100000000000001" customHeight="1" x14ac:dyDescent="0.2">
      <c r="A24" s="71" t="s">
        <v>64</v>
      </c>
      <c r="B24" s="71">
        <v>200718103</v>
      </c>
      <c r="C24" s="72" t="s">
        <v>65</v>
      </c>
      <c r="D24" s="73">
        <v>1</v>
      </c>
      <c r="E24" s="41"/>
      <c r="F24" s="42">
        <v>10</v>
      </c>
      <c r="G24" s="42">
        <v>10</v>
      </c>
    </row>
    <row r="25" spans="1:14" ht="20.100000000000001" customHeight="1" x14ac:dyDescent="0.2">
      <c r="A25" s="74" t="s">
        <v>309</v>
      </c>
      <c r="B25" s="74" t="s">
        <v>67</v>
      </c>
      <c r="C25" s="75" t="s">
        <v>68</v>
      </c>
      <c r="D25" s="73">
        <v>1</v>
      </c>
      <c r="E25" s="41"/>
      <c r="F25" s="42">
        <v>10</v>
      </c>
      <c r="G25" s="42">
        <v>10</v>
      </c>
    </row>
    <row r="26" spans="1:14" ht="20.100000000000001" customHeight="1" x14ac:dyDescent="0.2">
      <c r="A26" s="71" t="s">
        <v>69</v>
      </c>
      <c r="B26" s="71" t="s">
        <v>70</v>
      </c>
      <c r="C26" s="72" t="s">
        <v>71</v>
      </c>
      <c r="D26" s="73">
        <v>1</v>
      </c>
      <c r="E26" s="41"/>
      <c r="F26" s="42">
        <v>10</v>
      </c>
      <c r="G26" s="42">
        <v>20</v>
      </c>
    </row>
    <row r="27" spans="1:14" ht="20.100000000000001" customHeight="1" x14ac:dyDescent="0.2">
      <c r="A27" s="74" t="s">
        <v>72</v>
      </c>
      <c r="B27" s="74">
        <v>200718202</v>
      </c>
      <c r="C27" s="75" t="s">
        <v>73</v>
      </c>
      <c r="D27" s="73">
        <v>1</v>
      </c>
      <c r="E27" s="41"/>
      <c r="F27" s="42">
        <v>10</v>
      </c>
      <c r="G27" s="42">
        <v>10</v>
      </c>
    </row>
    <row r="28" spans="1:14" ht="20.100000000000001" customHeight="1" x14ac:dyDescent="0.2">
      <c r="A28" s="71" t="s">
        <v>74</v>
      </c>
      <c r="B28" s="71" t="s">
        <v>75</v>
      </c>
      <c r="C28" s="72" t="s">
        <v>76</v>
      </c>
      <c r="D28" s="73">
        <v>1</v>
      </c>
      <c r="E28" s="41"/>
      <c r="F28" s="42">
        <v>10</v>
      </c>
      <c r="G28" s="42">
        <v>50</v>
      </c>
    </row>
    <row r="29" spans="1:14" ht="20.100000000000001" customHeight="1" x14ac:dyDescent="0.2">
      <c r="A29" s="74" t="s">
        <v>77</v>
      </c>
      <c r="B29" s="74" t="s">
        <v>70</v>
      </c>
      <c r="C29" s="75" t="s">
        <v>78</v>
      </c>
      <c r="D29" s="73">
        <v>1</v>
      </c>
      <c r="E29" s="41"/>
      <c r="F29" s="42">
        <v>10</v>
      </c>
      <c r="G29" s="42">
        <v>10</v>
      </c>
    </row>
    <row r="30" spans="1:14" ht="20.100000000000001" customHeight="1" x14ac:dyDescent="0.2">
      <c r="A30" s="71" t="s">
        <v>79</v>
      </c>
      <c r="B30" s="71">
        <v>200718301</v>
      </c>
      <c r="C30" s="72" t="s">
        <v>81</v>
      </c>
      <c r="D30" s="73">
        <v>1</v>
      </c>
      <c r="E30" s="43"/>
      <c r="F30" s="42">
        <v>10</v>
      </c>
      <c r="G30" s="42">
        <v>10</v>
      </c>
    </row>
    <row r="31" spans="1:14" ht="20.100000000000001" customHeight="1" x14ac:dyDescent="0.2">
      <c r="A31" s="74" t="s">
        <v>82</v>
      </c>
      <c r="B31" s="74">
        <v>190718302</v>
      </c>
      <c r="C31" s="75" t="s">
        <v>83</v>
      </c>
      <c r="D31" s="73">
        <v>1</v>
      </c>
      <c r="E31" s="43"/>
      <c r="F31" s="42">
        <v>10</v>
      </c>
      <c r="G31" s="42">
        <v>20</v>
      </c>
    </row>
    <row r="32" spans="1:14" ht="20.100000000000001" customHeight="1" x14ac:dyDescent="0.2">
      <c r="A32" s="71" t="s">
        <v>84</v>
      </c>
      <c r="B32" s="71">
        <v>1708071836</v>
      </c>
      <c r="C32" s="72" t="s">
        <v>85</v>
      </c>
      <c r="D32" s="73">
        <v>1</v>
      </c>
      <c r="E32" s="43"/>
      <c r="F32" s="42">
        <v>10</v>
      </c>
      <c r="G32" s="42">
        <v>10</v>
      </c>
    </row>
    <row r="33" spans="1:7" ht="20.100000000000001" customHeight="1" x14ac:dyDescent="0.2">
      <c r="A33" s="74" t="s">
        <v>86</v>
      </c>
      <c r="B33" s="74">
        <v>180718401</v>
      </c>
      <c r="C33" s="75" t="s">
        <v>87</v>
      </c>
      <c r="D33" s="73">
        <v>1</v>
      </c>
      <c r="E33" s="43"/>
      <c r="F33" s="42">
        <v>10</v>
      </c>
      <c r="G33" s="42">
        <v>50</v>
      </c>
    </row>
    <row r="34" spans="1:7" ht="20.100000000000001" customHeight="1" x14ac:dyDescent="0.2">
      <c r="A34" s="71" t="s">
        <v>88</v>
      </c>
      <c r="B34" s="71">
        <v>200718404</v>
      </c>
      <c r="C34" s="72" t="s">
        <v>89</v>
      </c>
      <c r="D34" s="73">
        <v>1</v>
      </c>
      <c r="E34" s="43"/>
      <c r="F34" s="42">
        <v>10</v>
      </c>
      <c r="G34" s="42">
        <v>20</v>
      </c>
    </row>
    <row r="35" spans="1:7" ht="20.100000000000001" customHeight="1" x14ac:dyDescent="0.2">
      <c r="A35" s="74" t="s">
        <v>90</v>
      </c>
      <c r="B35" s="74" t="s">
        <v>91</v>
      </c>
      <c r="C35" s="75" t="s">
        <v>92</v>
      </c>
      <c r="D35" s="73">
        <v>1</v>
      </c>
      <c r="E35" s="43"/>
      <c r="F35" s="42">
        <v>10</v>
      </c>
      <c r="G35" s="42">
        <v>20</v>
      </c>
    </row>
    <row r="36" spans="1:7" ht="20.100000000000001" customHeight="1" x14ac:dyDescent="0.25">
      <c r="A36" s="74"/>
      <c r="B36" s="74"/>
      <c r="C36" s="75"/>
      <c r="D36" s="76">
        <v>12</v>
      </c>
      <c r="E36" s="43"/>
      <c r="F36" s="42">
        <v>10</v>
      </c>
      <c r="G36" s="42">
        <v>20</v>
      </c>
    </row>
    <row r="37" spans="1:7" ht="20.100000000000001" customHeight="1" x14ac:dyDescent="0.2">
      <c r="A37" s="71" t="s">
        <v>93</v>
      </c>
      <c r="B37" s="71">
        <v>200718510</v>
      </c>
      <c r="C37" s="72" t="s">
        <v>94</v>
      </c>
      <c r="D37" s="73">
        <v>1</v>
      </c>
      <c r="E37" s="43"/>
      <c r="F37" s="42">
        <v>10</v>
      </c>
      <c r="G37" s="42">
        <v>20</v>
      </c>
    </row>
    <row r="38" spans="1:7" ht="20.100000000000001" customHeight="1" x14ac:dyDescent="0.2">
      <c r="A38" s="74" t="s">
        <v>95</v>
      </c>
      <c r="B38" s="74">
        <v>1710071858</v>
      </c>
      <c r="C38" s="75" t="s">
        <v>96</v>
      </c>
      <c r="D38" s="73">
        <v>1</v>
      </c>
      <c r="E38" s="43"/>
      <c r="F38" s="42">
        <v>10</v>
      </c>
      <c r="G38" s="42">
        <v>10</v>
      </c>
    </row>
    <row r="39" spans="1:7" ht="20.100000000000001" customHeight="1" x14ac:dyDescent="0.2">
      <c r="A39" s="71" t="s">
        <v>97</v>
      </c>
      <c r="B39" s="71">
        <v>2103443</v>
      </c>
      <c r="C39" s="72" t="s">
        <v>98</v>
      </c>
      <c r="D39" s="73">
        <v>1</v>
      </c>
      <c r="E39" s="43"/>
      <c r="F39" s="42">
        <v>10</v>
      </c>
      <c r="G39" s="42">
        <v>10</v>
      </c>
    </row>
    <row r="40" spans="1:7" ht="20.100000000000001" customHeight="1" x14ac:dyDescent="0.2">
      <c r="A40" s="74" t="s">
        <v>99</v>
      </c>
      <c r="B40" s="74" t="s">
        <v>310</v>
      </c>
      <c r="C40" s="75" t="s">
        <v>100</v>
      </c>
      <c r="D40" s="73">
        <v>1</v>
      </c>
      <c r="E40" s="43"/>
      <c r="F40" s="42">
        <v>10</v>
      </c>
      <c r="G40" s="42">
        <v>100</v>
      </c>
    </row>
    <row r="41" spans="1:7" ht="20.100000000000001" customHeight="1" x14ac:dyDescent="0.2">
      <c r="A41" s="71" t="s">
        <v>101</v>
      </c>
      <c r="B41" s="71">
        <v>1411071854</v>
      </c>
      <c r="C41" s="72" t="s">
        <v>102</v>
      </c>
      <c r="D41" s="73">
        <v>1</v>
      </c>
      <c r="E41" s="43"/>
      <c r="F41" s="42">
        <v>10</v>
      </c>
      <c r="G41" s="42">
        <v>20</v>
      </c>
    </row>
    <row r="42" spans="1:7" ht="20.100000000000001" customHeight="1" x14ac:dyDescent="0.2">
      <c r="A42" s="74" t="s">
        <v>103</v>
      </c>
      <c r="B42" s="74" t="s">
        <v>104</v>
      </c>
      <c r="C42" s="75" t="s">
        <v>105</v>
      </c>
      <c r="D42" s="73">
        <v>1</v>
      </c>
      <c r="E42" s="44"/>
      <c r="F42" s="42">
        <v>10</v>
      </c>
      <c r="G42" s="42">
        <v>10</v>
      </c>
    </row>
    <row r="43" spans="1:7" ht="20.100000000000001" customHeight="1" x14ac:dyDescent="0.2">
      <c r="A43" s="71" t="s">
        <v>106</v>
      </c>
      <c r="B43" s="71">
        <v>200718508</v>
      </c>
      <c r="C43" s="72" t="s">
        <v>107</v>
      </c>
      <c r="D43" s="73">
        <v>1</v>
      </c>
      <c r="E43" s="45"/>
      <c r="F43" s="42">
        <v>10</v>
      </c>
      <c r="G43" s="42">
        <v>20</v>
      </c>
    </row>
    <row r="44" spans="1:7" ht="20.100000000000001" customHeight="1" x14ac:dyDescent="0.2">
      <c r="A44" s="74" t="s">
        <v>108</v>
      </c>
      <c r="B44" s="74">
        <v>200718511</v>
      </c>
      <c r="C44" s="75" t="s">
        <v>109</v>
      </c>
      <c r="D44" s="73">
        <v>1</v>
      </c>
      <c r="E44" s="45"/>
      <c r="F44" s="42">
        <v>10</v>
      </c>
      <c r="G44" s="42">
        <v>20</v>
      </c>
    </row>
    <row r="45" spans="1:7" ht="20.100000000000001" customHeight="1" x14ac:dyDescent="0.25">
      <c r="A45" s="74"/>
      <c r="B45" s="74"/>
      <c r="C45" s="75"/>
      <c r="D45" s="76">
        <v>8</v>
      </c>
      <c r="E45" s="45"/>
      <c r="F45" s="42">
        <v>10</v>
      </c>
      <c r="G45" s="42">
        <v>10</v>
      </c>
    </row>
    <row r="46" spans="1:7" ht="20.100000000000001" customHeight="1" x14ac:dyDescent="0.2">
      <c r="A46" s="71" t="s">
        <v>311</v>
      </c>
      <c r="B46" s="71">
        <v>200718611</v>
      </c>
      <c r="C46" s="72" t="s">
        <v>111</v>
      </c>
      <c r="D46" s="73">
        <v>1</v>
      </c>
      <c r="E46" s="45"/>
      <c r="F46" s="42">
        <v>10</v>
      </c>
      <c r="G46" s="42">
        <v>10</v>
      </c>
    </row>
    <row r="47" spans="1:7" ht="20.100000000000001" customHeight="1" x14ac:dyDescent="0.2">
      <c r="A47" s="74" t="s">
        <v>112</v>
      </c>
      <c r="B47" s="74">
        <v>180718601</v>
      </c>
      <c r="C47" s="75" t="s">
        <v>113</v>
      </c>
      <c r="D47" s="73">
        <v>1</v>
      </c>
      <c r="E47" s="45"/>
      <c r="F47" s="42">
        <v>10</v>
      </c>
      <c r="G47" s="42">
        <v>90</v>
      </c>
    </row>
    <row r="48" spans="1:7" ht="20.100000000000001" customHeight="1" x14ac:dyDescent="0.2">
      <c r="A48" s="71" t="s">
        <v>114</v>
      </c>
      <c r="B48" s="71">
        <v>180718601</v>
      </c>
      <c r="C48" s="72" t="s">
        <v>115</v>
      </c>
      <c r="D48" s="73">
        <v>1</v>
      </c>
      <c r="E48" s="45"/>
      <c r="F48" s="42"/>
      <c r="G48" s="42"/>
    </row>
    <row r="49" spans="1:7" ht="20.100000000000001" customHeight="1" x14ac:dyDescent="0.2">
      <c r="A49" s="74" t="s">
        <v>116</v>
      </c>
      <c r="B49" s="74">
        <v>190718601</v>
      </c>
      <c r="C49" s="75" t="s">
        <v>117</v>
      </c>
      <c r="D49" s="73">
        <v>1</v>
      </c>
      <c r="E49" s="45"/>
      <c r="F49" s="42">
        <v>10</v>
      </c>
      <c r="G49" s="42">
        <v>10</v>
      </c>
    </row>
    <row r="50" spans="1:7" ht="20.100000000000001" customHeight="1" x14ac:dyDescent="0.2">
      <c r="A50" s="71" t="s">
        <v>118</v>
      </c>
      <c r="B50" s="71">
        <v>190718604</v>
      </c>
      <c r="C50" s="72" t="s">
        <v>119</v>
      </c>
      <c r="D50" s="73">
        <v>1</v>
      </c>
      <c r="E50" s="45"/>
      <c r="F50" s="42">
        <v>10</v>
      </c>
      <c r="G50" s="42">
        <v>10</v>
      </c>
    </row>
    <row r="51" spans="1:7" ht="20.100000000000001" customHeight="1" x14ac:dyDescent="0.2">
      <c r="A51" s="74" t="s">
        <v>120</v>
      </c>
      <c r="B51" s="74">
        <v>190718605</v>
      </c>
      <c r="C51" s="75" t="s">
        <v>121</v>
      </c>
      <c r="D51" s="73">
        <v>1</v>
      </c>
      <c r="E51" s="45"/>
      <c r="F51" s="42">
        <v>10</v>
      </c>
      <c r="G51" s="42">
        <v>10</v>
      </c>
    </row>
    <row r="52" spans="1:7" ht="20.100000000000001" customHeight="1" x14ac:dyDescent="0.2">
      <c r="A52" s="71" t="s">
        <v>122</v>
      </c>
      <c r="B52" s="71">
        <v>200718606</v>
      </c>
      <c r="C52" s="72" t="s">
        <v>123</v>
      </c>
      <c r="D52" s="73">
        <v>1</v>
      </c>
      <c r="E52" s="46"/>
      <c r="F52" s="42">
        <v>10</v>
      </c>
      <c r="G52" s="42">
        <v>0</v>
      </c>
    </row>
    <row r="53" spans="1:7" ht="20.100000000000001" customHeight="1" x14ac:dyDescent="0.2">
      <c r="A53" s="74" t="s">
        <v>124</v>
      </c>
      <c r="B53" s="74">
        <v>200718609</v>
      </c>
      <c r="C53" s="75" t="s">
        <v>125</v>
      </c>
      <c r="D53" s="73">
        <v>1</v>
      </c>
      <c r="E53" s="46"/>
      <c r="F53" s="42">
        <v>10</v>
      </c>
      <c r="G53" s="42">
        <v>10</v>
      </c>
    </row>
    <row r="54" spans="1:7" ht="20.100000000000001" customHeight="1" x14ac:dyDescent="0.25">
      <c r="A54" s="74"/>
      <c r="B54" s="74"/>
      <c r="C54" s="75"/>
      <c r="D54" s="76">
        <v>8</v>
      </c>
      <c r="E54" s="46"/>
      <c r="F54" s="42">
        <v>10</v>
      </c>
      <c r="G54" s="42">
        <v>10</v>
      </c>
    </row>
    <row r="55" spans="1:7" ht="20.100000000000001" customHeight="1" x14ac:dyDescent="0.2">
      <c r="A55" s="71" t="s">
        <v>126</v>
      </c>
      <c r="B55" s="71">
        <v>200718705</v>
      </c>
      <c r="C55" s="72" t="s">
        <v>127</v>
      </c>
      <c r="D55" s="73">
        <v>1</v>
      </c>
      <c r="E55" s="46"/>
      <c r="F55" s="42">
        <v>10</v>
      </c>
      <c r="G55" s="42">
        <v>10</v>
      </c>
    </row>
    <row r="56" spans="1:7" ht="20.100000000000001" customHeight="1" x14ac:dyDescent="0.2">
      <c r="A56" s="74" t="s">
        <v>128</v>
      </c>
      <c r="B56" s="74">
        <v>200718705</v>
      </c>
      <c r="C56" s="75" t="s">
        <v>129</v>
      </c>
      <c r="D56" s="73">
        <v>1</v>
      </c>
      <c r="E56" s="46"/>
      <c r="F56" s="42">
        <v>10</v>
      </c>
      <c r="G56" s="42">
        <v>70</v>
      </c>
    </row>
    <row r="57" spans="1:7" ht="20.100000000000001" customHeight="1" x14ac:dyDescent="0.2">
      <c r="A57" s="71" t="s">
        <v>130</v>
      </c>
      <c r="B57" s="71">
        <v>200718707</v>
      </c>
      <c r="C57" s="72" t="s">
        <v>131</v>
      </c>
      <c r="D57" s="73">
        <v>1</v>
      </c>
      <c r="E57" s="46"/>
      <c r="F57" s="42">
        <v>10</v>
      </c>
      <c r="G57" s="42">
        <v>10</v>
      </c>
    </row>
    <row r="58" spans="1:7" ht="20.100000000000001" customHeight="1" x14ac:dyDescent="0.2">
      <c r="A58" s="74" t="s">
        <v>132</v>
      </c>
      <c r="B58" s="74">
        <v>190718703</v>
      </c>
      <c r="C58" s="75" t="s">
        <v>133</v>
      </c>
      <c r="D58" s="73">
        <v>1</v>
      </c>
      <c r="E58" s="46"/>
      <c r="F58" s="42">
        <v>10</v>
      </c>
      <c r="G58" s="42">
        <v>10</v>
      </c>
    </row>
    <row r="59" spans="1:7" ht="20.100000000000001" customHeight="1" x14ac:dyDescent="0.2">
      <c r="A59" s="71" t="s">
        <v>134</v>
      </c>
      <c r="B59" s="71">
        <v>190718704</v>
      </c>
      <c r="C59" s="72" t="s">
        <v>135</v>
      </c>
      <c r="D59" s="73">
        <v>1</v>
      </c>
      <c r="E59" s="46"/>
      <c r="F59" s="42">
        <v>10</v>
      </c>
      <c r="G59" s="42">
        <v>10</v>
      </c>
    </row>
    <row r="60" spans="1:7" ht="20.100000000000001" customHeight="1" x14ac:dyDescent="0.2">
      <c r="A60" s="74" t="s">
        <v>136</v>
      </c>
      <c r="B60" s="74">
        <v>1703071871</v>
      </c>
      <c r="C60" s="75" t="s">
        <v>137</v>
      </c>
      <c r="D60" s="73">
        <v>1</v>
      </c>
      <c r="E60" s="46"/>
      <c r="F60" s="42">
        <v>10</v>
      </c>
      <c r="G60" s="42">
        <v>10</v>
      </c>
    </row>
    <row r="61" spans="1:7" ht="20.100000000000001" customHeight="1" x14ac:dyDescent="0.2">
      <c r="A61" s="71" t="s">
        <v>138</v>
      </c>
      <c r="B61" s="71">
        <v>200718709</v>
      </c>
      <c r="C61" s="72" t="s">
        <v>139</v>
      </c>
      <c r="D61" s="73">
        <v>1</v>
      </c>
      <c r="E61" s="46"/>
      <c r="F61" s="42">
        <v>10</v>
      </c>
      <c r="G61" s="42">
        <v>10</v>
      </c>
    </row>
    <row r="62" spans="1:7" ht="20.100000000000001" customHeight="1" x14ac:dyDescent="0.2">
      <c r="A62" s="74" t="s">
        <v>140</v>
      </c>
      <c r="B62" s="74">
        <v>200718706</v>
      </c>
      <c r="C62" s="75" t="s">
        <v>141</v>
      </c>
      <c r="D62" s="73">
        <v>1</v>
      </c>
      <c r="E62" s="46"/>
      <c r="F62" s="42">
        <v>10</v>
      </c>
      <c r="G62" s="42">
        <v>10</v>
      </c>
    </row>
    <row r="63" spans="1:7" ht="20.100000000000001" customHeight="1" x14ac:dyDescent="0.25">
      <c r="A63" s="74"/>
      <c r="B63" s="74"/>
      <c r="C63" s="75"/>
      <c r="D63" s="76">
        <v>8</v>
      </c>
      <c r="E63" s="46"/>
      <c r="F63" s="42">
        <v>10</v>
      </c>
      <c r="G63" s="42">
        <v>60</v>
      </c>
    </row>
    <row r="64" spans="1:7" ht="20.100000000000001" customHeight="1" x14ac:dyDescent="0.2">
      <c r="A64" s="71" t="s">
        <v>142</v>
      </c>
      <c r="B64" s="71">
        <v>200718802</v>
      </c>
      <c r="C64" s="72" t="s">
        <v>143</v>
      </c>
      <c r="D64" s="73">
        <v>1</v>
      </c>
      <c r="E64" s="46"/>
      <c r="F64" s="42">
        <v>10</v>
      </c>
      <c r="G64" s="42">
        <v>10</v>
      </c>
    </row>
    <row r="65" spans="1:7" ht="20.100000000000001" customHeight="1" x14ac:dyDescent="0.2">
      <c r="A65" s="74" t="s">
        <v>144</v>
      </c>
      <c r="B65" s="74">
        <v>200718804</v>
      </c>
      <c r="C65" s="75" t="s">
        <v>145</v>
      </c>
      <c r="D65" s="73">
        <v>1</v>
      </c>
      <c r="E65" s="46"/>
      <c r="F65" s="42">
        <v>10</v>
      </c>
      <c r="G65" s="42">
        <v>10</v>
      </c>
    </row>
    <row r="66" spans="1:7" ht="20.100000000000001" customHeight="1" x14ac:dyDescent="0.2">
      <c r="A66" s="71" t="s">
        <v>146</v>
      </c>
      <c r="B66" s="71">
        <v>200718803</v>
      </c>
      <c r="C66" s="72" t="s">
        <v>147</v>
      </c>
      <c r="D66" s="73">
        <v>1</v>
      </c>
      <c r="E66" s="46"/>
      <c r="F66" s="42">
        <v>10</v>
      </c>
      <c r="G66" s="42">
        <v>10</v>
      </c>
    </row>
    <row r="67" spans="1:7" ht="20.100000000000001" customHeight="1" x14ac:dyDescent="0.2">
      <c r="A67" s="74" t="s">
        <v>148</v>
      </c>
      <c r="B67" s="74">
        <v>200718805</v>
      </c>
      <c r="C67" s="75" t="s">
        <v>149</v>
      </c>
      <c r="D67" s="73">
        <v>1</v>
      </c>
      <c r="E67" s="46"/>
      <c r="F67" s="42">
        <v>10</v>
      </c>
      <c r="G67" s="42">
        <v>10</v>
      </c>
    </row>
    <row r="68" spans="1:7" ht="20.100000000000001" customHeight="1" x14ac:dyDescent="0.2">
      <c r="A68" s="71" t="s">
        <v>150</v>
      </c>
      <c r="B68" s="71">
        <v>200718804</v>
      </c>
      <c r="C68" s="72" t="s">
        <v>151</v>
      </c>
      <c r="D68" s="73">
        <v>1</v>
      </c>
      <c r="E68" s="46"/>
      <c r="F68" s="42">
        <v>10</v>
      </c>
      <c r="G68" s="42">
        <v>40</v>
      </c>
    </row>
    <row r="69" spans="1:7" ht="20.100000000000001" customHeight="1" x14ac:dyDescent="0.2">
      <c r="A69" s="74" t="s">
        <v>152</v>
      </c>
      <c r="B69" s="74">
        <v>200718812</v>
      </c>
      <c r="C69" s="75" t="s">
        <v>153</v>
      </c>
      <c r="D69" s="73">
        <v>1</v>
      </c>
      <c r="E69" s="46"/>
      <c r="F69" s="42">
        <v>10</v>
      </c>
      <c r="G69" s="42">
        <v>0</v>
      </c>
    </row>
    <row r="70" spans="1:7" ht="20.100000000000001" customHeight="1" x14ac:dyDescent="0.2">
      <c r="A70" s="71" t="s">
        <v>154</v>
      </c>
      <c r="B70" s="71">
        <v>200718809</v>
      </c>
      <c r="C70" s="72" t="s">
        <v>155</v>
      </c>
      <c r="D70" s="73">
        <v>1</v>
      </c>
      <c r="E70" s="46"/>
      <c r="F70" s="42">
        <v>10</v>
      </c>
      <c r="G70" s="42">
        <v>10</v>
      </c>
    </row>
    <row r="71" spans="1:7" ht="20.100000000000001" customHeight="1" x14ac:dyDescent="0.2">
      <c r="A71" s="74" t="s">
        <v>156</v>
      </c>
      <c r="B71" s="74">
        <v>200718811</v>
      </c>
      <c r="C71" s="75" t="s">
        <v>157</v>
      </c>
      <c r="D71" s="73">
        <v>1</v>
      </c>
      <c r="E71" s="46"/>
      <c r="F71" s="42">
        <v>10</v>
      </c>
      <c r="G71" s="42">
        <v>10</v>
      </c>
    </row>
    <row r="72" spans="1:7" ht="20.100000000000001" customHeight="1" x14ac:dyDescent="0.25">
      <c r="A72" s="80"/>
      <c r="B72" s="80"/>
      <c r="C72" s="81"/>
      <c r="D72" s="76">
        <v>8</v>
      </c>
      <c r="E72" s="46"/>
      <c r="F72" s="42">
        <v>10</v>
      </c>
      <c r="G72" s="42">
        <v>0</v>
      </c>
    </row>
    <row r="73" spans="1:7" ht="20.100000000000001" customHeight="1" x14ac:dyDescent="0.2">
      <c r="A73" s="71" t="s">
        <v>158</v>
      </c>
      <c r="B73" s="71" t="s">
        <v>159</v>
      </c>
      <c r="C73" s="82" t="s">
        <v>160</v>
      </c>
      <c r="D73" s="73">
        <v>1</v>
      </c>
      <c r="E73" s="46"/>
      <c r="F73" s="42">
        <v>10</v>
      </c>
      <c r="G73" s="42">
        <v>10</v>
      </c>
    </row>
    <row r="74" spans="1:7" ht="20.100000000000001" customHeight="1" x14ac:dyDescent="0.2">
      <c r="A74" s="74" t="s">
        <v>161</v>
      </c>
      <c r="B74" s="74" t="s">
        <v>162</v>
      </c>
      <c r="C74" s="83" t="s">
        <v>163</v>
      </c>
      <c r="D74" s="73">
        <v>1</v>
      </c>
      <c r="E74" s="46"/>
      <c r="F74" s="42"/>
      <c r="G74" s="42"/>
    </row>
    <row r="75" spans="1:7" ht="20.100000000000001" customHeight="1" x14ac:dyDescent="0.2">
      <c r="A75" s="71" t="s">
        <v>164</v>
      </c>
      <c r="B75" s="71" t="s">
        <v>165</v>
      </c>
      <c r="C75" s="82" t="s">
        <v>166</v>
      </c>
      <c r="D75" s="73">
        <v>1</v>
      </c>
      <c r="E75" s="46"/>
      <c r="F75" s="42">
        <v>10</v>
      </c>
      <c r="G75" s="42">
        <v>40</v>
      </c>
    </row>
    <row r="76" spans="1:7" ht="20.100000000000001" customHeight="1" x14ac:dyDescent="0.2">
      <c r="A76" s="74" t="s">
        <v>167</v>
      </c>
      <c r="B76" s="74" t="s">
        <v>312</v>
      </c>
      <c r="C76" s="83" t="s">
        <v>169</v>
      </c>
      <c r="D76" s="73">
        <v>1</v>
      </c>
      <c r="E76" s="46"/>
      <c r="F76" s="42">
        <v>10</v>
      </c>
      <c r="G76" s="42">
        <v>20</v>
      </c>
    </row>
    <row r="77" spans="1:7" ht="20.100000000000001" customHeight="1" x14ac:dyDescent="0.2">
      <c r="A77" s="71" t="s">
        <v>170</v>
      </c>
      <c r="B77" s="71" t="s">
        <v>313</v>
      </c>
      <c r="C77" s="82" t="s">
        <v>172</v>
      </c>
      <c r="D77" s="73">
        <v>1</v>
      </c>
      <c r="E77" s="47"/>
      <c r="F77" s="60">
        <v>10</v>
      </c>
      <c r="G77" s="42">
        <v>20</v>
      </c>
    </row>
    <row r="78" spans="1:7" ht="20.100000000000001" customHeight="1" x14ac:dyDescent="0.2">
      <c r="A78" s="74" t="s">
        <v>173</v>
      </c>
      <c r="B78" s="74" t="s">
        <v>174</v>
      </c>
      <c r="C78" s="83" t="s">
        <v>175</v>
      </c>
      <c r="D78" s="73">
        <v>0</v>
      </c>
      <c r="E78" s="47"/>
      <c r="F78" s="60">
        <v>10</v>
      </c>
      <c r="G78" s="42">
        <v>20</v>
      </c>
    </row>
    <row r="79" spans="1:7" ht="20.100000000000001" customHeight="1" x14ac:dyDescent="0.2">
      <c r="A79" s="71" t="s">
        <v>176</v>
      </c>
      <c r="B79" s="71" t="s">
        <v>177</v>
      </c>
      <c r="C79" s="82" t="s">
        <v>178</v>
      </c>
      <c r="D79" s="73">
        <v>1</v>
      </c>
      <c r="E79" s="47"/>
      <c r="F79" s="60">
        <v>10</v>
      </c>
      <c r="G79" s="42">
        <v>20</v>
      </c>
    </row>
    <row r="80" spans="1:7" ht="20.100000000000001" customHeight="1" x14ac:dyDescent="0.2">
      <c r="A80" s="74" t="s">
        <v>179</v>
      </c>
      <c r="B80" s="74" t="s">
        <v>177</v>
      </c>
      <c r="C80" s="83" t="s">
        <v>180</v>
      </c>
      <c r="D80" s="73">
        <v>0</v>
      </c>
      <c r="E80" s="47"/>
      <c r="F80" s="60">
        <v>10</v>
      </c>
      <c r="G80" s="42">
        <v>20</v>
      </c>
    </row>
    <row r="81" spans="1:7" ht="20.100000000000001" customHeight="1" x14ac:dyDescent="0.2">
      <c r="A81" s="71" t="s">
        <v>181</v>
      </c>
      <c r="B81" s="71" t="s">
        <v>182</v>
      </c>
      <c r="C81" s="82" t="s">
        <v>183</v>
      </c>
      <c r="D81" s="73">
        <v>1</v>
      </c>
      <c r="E81" s="47"/>
      <c r="F81" s="60">
        <v>10</v>
      </c>
      <c r="G81" s="42">
        <v>20</v>
      </c>
    </row>
    <row r="82" spans="1:7" ht="20.100000000000001" customHeight="1" x14ac:dyDescent="0.2">
      <c r="A82" s="74" t="s">
        <v>184</v>
      </c>
      <c r="B82" s="74" t="s">
        <v>185</v>
      </c>
      <c r="C82" s="83" t="s">
        <v>186</v>
      </c>
      <c r="D82" s="73">
        <v>1</v>
      </c>
      <c r="E82" s="47"/>
      <c r="F82" s="60">
        <v>10</v>
      </c>
      <c r="G82" s="42">
        <v>20</v>
      </c>
    </row>
    <row r="83" spans="1:7" ht="20.100000000000001" customHeight="1" x14ac:dyDescent="0.25">
      <c r="A83" s="80"/>
      <c r="B83" s="80"/>
      <c r="C83" s="81"/>
      <c r="D83" s="76">
        <v>8</v>
      </c>
      <c r="E83" s="47"/>
      <c r="F83" s="60">
        <v>10</v>
      </c>
      <c r="G83" s="42">
        <v>20</v>
      </c>
    </row>
    <row r="84" spans="1:7" ht="20.100000000000001" customHeight="1" x14ac:dyDescent="0.2">
      <c r="A84" s="74" t="s">
        <v>187</v>
      </c>
      <c r="B84" s="74" t="s">
        <v>188</v>
      </c>
      <c r="C84" s="83" t="s">
        <v>189</v>
      </c>
      <c r="D84" s="73">
        <v>2</v>
      </c>
      <c r="E84" s="47"/>
      <c r="F84" s="60"/>
      <c r="G84" s="42"/>
    </row>
    <row r="85" spans="1:7" ht="20.100000000000001" customHeight="1" x14ac:dyDescent="0.2">
      <c r="A85" s="71" t="s">
        <v>190</v>
      </c>
      <c r="B85" s="71" t="s">
        <v>191</v>
      </c>
      <c r="C85" s="82" t="s">
        <v>192</v>
      </c>
      <c r="D85" s="73">
        <v>2</v>
      </c>
      <c r="E85" s="47"/>
      <c r="F85" s="60">
        <v>10</v>
      </c>
      <c r="G85" s="42">
        <v>20</v>
      </c>
    </row>
    <row r="86" spans="1:7" ht="20.100000000000001" customHeight="1" x14ac:dyDescent="0.2">
      <c r="A86" s="74" t="s">
        <v>193</v>
      </c>
      <c r="B86" s="74" t="s">
        <v>194</v>
      </c>
      <c r="C86" s="83" t="s">
        <v>195</v>
      </c>
      <c r="D86" s="73">
        <v>2</v>
      </c>
      <c r="E86" s="47"/>
      <c r="F86" s="60"/>
      <c r="G86" s="42"/>
    </row>
    <row r="87" spans="1:7" ht="20.100000000000001" customHeight="1" x14ac:dyDescent="0.2">
      <c r="A87" s="71" t="s">
        <v>196</v>
      </c>
      <c r="B87" s="71" t="s">
        <v>197</v>
      </c>
      <c r="C87" s="82" t="s">
        <v>198</v>
      </c>
      <c r="D87" s="73">
        <v>2</v>
      </c>
      <c r="E87" s="47"/>
      <c r="F87" s="60"/>
      <c r="G87" s="42"/>
    </row>
    <row r="88" spans="1:7" ht="20.100000000000001" customHeight="1" x14ac:dyDescent="0.2">
      <c r="A88" s="74" t="s">
        <v>199</v>
      </c>
      <c r="B88" s="74" t="s">
        <v>200</v>
      </c>
      <c r="C88" s="83" t="s">
        <v>201</v>
      </c>
      <c r="D88" s="73">
        <v>2</v>
      </c>
      <c r="E88" s="47"/>
      <c r="F88" s="60"/>
      <c r="G88" s="42"/>
    </row>
    <row r="89" spans="1:7" ht="20.100000000000001" customHeight="1" x14ac:dyDescent="0.2">
      <c r="A89" s="71" t="s">
        <v>202</v>
      </c>
      <c r="B89" s="71" t="s">
        <v>203</v>
      </c>
      <c r="C89" s="82" t="s">
        <v>314</v>
      </c>
      <c r="D89" s="73">
        <v>2</v>
      </c>
      <c r="E89" s="47"/>
      <c r="F89" s="60"/>
      <c r="G89" s="42"/>
    </row>
    <row r="90" spans="1:7" ht="20.100000000000001" customHeight="1" x14ac:dyDescent="0.2">
      <c r="A90" s="74" t="s">
        <v>204</v>
      </c>
      <c r="B90" s="74" t="s">
        <v>203</v>
      </c>
      <c r="C90" s="83" t="s">
        <v>205</v>
      </c>
      <c r="D90" s="73">
        <v>2</v>
      </c>
      <c r="E90" s="47"/>
      <c r="F90" s="60"/>
      <c r="G90" s="42"/>
    </row>
    <row r="91" spans="1:7" ht="20.100000000000001" customHeight="1" x14ac:dyDescent="0.2">
      <c r="A91" s="71" t="s">
        <v>206</v>
      </c>
      <c r="B91" s="71" t="s">
        <v>207</v>
      </c>
      <c r="C91" s="82" t="s">
        <v>315</v>
      </c>
      <c r="D91" s="73">
        <v>2</v>
      </c>
      <c r="E91" s="47"/>
      <c r="F91" s="60"/>
      <c r="G91" s="42"/>
    </row>
    <row r="92" spans="1:7" ht="20.100000000000001" customHeight="1" x14ac:dyDescent="0.2">
      <c r="A92" s="74" t="s">
        <v>208</v>
      </c>
      <c r="B92" s="74" t="s">
        <v>209</v>
      </c>
      <c r="C92" s="83" t="s">
        <v>210</v>
      </c>
      <c r="D92" s="73">
        <v>2</v>
      </c>
      <c r="E92" s="47"/>
      <c r="F92" s="60"/>
      <c r="G92" s="42"/>
    </row>
    <row r="93" spans="1:7" ht="20.100000000000001" customHeight="1" x14ac:dyDescent="0.2">
      <c r="A93" s="71" t="s">
        <v>211</v>
      </c>
      <c r="B93" s="71" t="s">
        <v>212</v>
      </c>
      <c r="C93" s="82" t="s">
        <v>213</v>
      </c>
      <c r="D93" s="73">
        <v>2</v>
      </c>
      <c r="E93" s="47"/>
      <c r="F93" s="60"/>
      <c r="G93" s="42"/>
    </row>
    <row r="94" spans="1:7" ht="20.100000000000001" customHeight="1" x14ac:dyDescent="0.2">
      <c r="A94" s="74" t="s">
        <v>214</v>
      </c>
      <c r="B94" s="74" t="s">
        <v>212</v>
      </c>
      <c r="C94" s="83" t="s">
        <v>215</v>
      </c>
      <c r="D94" s="73">
        <v>2</v>
      </c>
      <c r="E94" s="47"/>
      <c r="F94" s="60"/>
      <c r="G94" s="42"/>
    </row>
    <row r="95" spans="1:7" ht="20.100000000000001" customHeight="1" x14ac:dyDescent="0.2">
      <c r="A95" s="71" t="s">
        <v>216</v>
      </c>
      <c r="B95" s="71" t="s">
        <v>217</v>
      </c>
      <c r="C95" s="82" t="s">
        <v>218</v>
      </c>
      <c r="D95" s="73">
        <v>2</v>
      </c>
      <c r="E95" s="47"/>
      <c r="F95" s="60"/>
      <c r="G95" s="42"/>
    </row>
    <row r="96" spans="1:7" ht="20.100000000000001" customHeight="1" x14ac:dyDescent="0.2">
      <c r="A96" s="74" t="s">
        <v>219</v>
      </c>
      <c r="B96" s="74" t="s">
        <v>212</v>
      </c>
      <c r="C96" s="83" t="s">
        <v>220</v>
      </c>
      <c r="D96" s="73">
        <v>2</v>
      </c>
      <c r="E96" s="47"/>
      <c r="F96" s="60"/>
      <c r="G96" s="42"/>
    </row>
    <row r="97" spans="1:7" ht="20.100000000000001" customHeight="1" x14ac:dyDescent="0.25">
      <c r="A97" s="83"/>
      <c r="B97" s="83"/>
      <c r="C97" s="83"/>
      <c r="D97" s="76">
        <v>26</v>
      </c>
      <c r="E97" s="47"/>
      <c r="F97" s="60"/>
      <c r="G97" s="42"/>
    </row>
    <row r="98" spans="1:7" ht="20.100000000000001" customHeight="1" x14ac:dyDescent="0.25">
      <c r="A98" s="48"/>
      <c r="B98" s="49"/>
      <c r="C98" s="50"/>
      <c r="D98" s="51"/>
      <c r="E98" s="50"/>
      <c r="F98" s="66" t="s">
        <v>34</v>
      </c>
      <c r="G98" s="64">
        <f>SUM(G24:G97)</f>
        <v>1160</v>
      </c>
    </row>
    <row r="99" spans="1:7" ht="20.100000000000001" customHeight="1" x14ac:dyDescent="0.25">
      <c r="A99" s="48"/>
      <c r="B99" s="49"/>
      <c r="C99" s="50"/>
      <c r="D99" s="51"/>
      <c r="E99" s="50"/>
      <c r="F99" s="65" t="s">
        <v>35</v>
      </c>
      <c r="G99" s="64">
        <f>G98*12/100</f>
        <v>139.19999999999999</v>
      </c>
    </row>
    <row r="100" spans="1:7" ht="20.100000000000001" customHeight="1" x14ac:dyDescent="0.25">
      <c r="A100" s="48"/>
      <c r="B100" s="49"/>
      <c r="C100" s="50"/>
      <c r="D100" s="51"/>
      <c r="E100" s="50"/>
      <c r="F100" s="65" t="s">
        <v>36</v>
      </c>
      <c r="G100" s="64">
        <f>SUM(G98:G99)</f>
        <v>1299.2</v>
      </c>
    </row>
    <row r="101" spans="1:7" ht="20.100000000000001" customHeight="1" x14ac:dyDescent="0.25">
      <c r="A101" s="48"/>
      <c r="B101" s="49"/>
      <c r="C101" s="50"/>
      <c r="D101" s="51"/>
      <c r="E101" s="50"/>
      <c r="F101" s="52"/>
      <c r="G101" s="61"/>
    </row>
    <row r="102" spans="1:7" ht="20.100000000000001" customHeight="1" x14ac:dyDescent="0.25">
      <c r="A102" s="48"/>
      <c r="B102"/>
      <c r="C102" s="97" t="s">
        <v>322</v>
      </c>
      <c r="D102" s="51"/>
      <c r="E102" s="50"/>
      <c r="F102" s="52"/>
      <c r="G102" s="61"/>
    </row>
    <row r="103" spans="1:7" ht="20.100000000000001" customHeight="1" x14ac:dyDescent="0.25">
      <c r="A103" s="48"/>
      <c r="B103" s="98" t="s">
        <v>29</v>
      </c>
      <c r="C103" s="84" t="s">
        <v>222</v>
      </c>
      <c r="D103" s="51"/>
      <c r="E103" s="50"/>
      <c r="F103" s="52"/>
      <c r="G103" s="61"/>
    </row>
    <row r="104" spans="1:7" ht="20.100000000000001" customHeight="1" x14ac:dyDescent="0.25">
      <c r="A104" s="48"/>
      <c r="B104" s="99">
        <v>2</v>
      </c>
      <c r="C104" s="85" t="s">
        <v>323</v>
      </c>
      <c r="D104" s="51"/>
      <c r="E104" s="50"/>
      <c r="F104" s="52"/>
      <c r="G104" s="61"/>
    </row>
    <row r="105" spans="1:7" ht="20.100000000000001" customHeight="1" x14ac:dyDescent="0.25">
      <c r="A105" s="48"/>
      <c r="B105" s="99">
        <v>2</v>
      </c>
      <c r="C105" s="85" t="s">
        <v>324</v>
      </c>
      <c r="D105" s="51"/>
      <c r="E105" s="50"/>
      <c r="F105" s="52"/>
      <c r="G105" s="61"/>
    </row>
    <row r="106" spans="1:7" ht="20.100000000000001" customHeight="1" x14ac:dyDescent="0.25">
      <c r="A106" s="48"/>
      <c r="B106" s="99">
        <v>2</v>
      </c>
      <c r="C106" s="85" t="s">
        <v>325</v>
      </c>
      <c r="D106" s="51"/>
      <c r="E106" s="50"/>
      <c r="F106" s="52"/>
      <c r="G106" s="61"/>
    </row>
    <row r="107" spans="1:7" ht="20.100000000000001" customHeight="1" x14ac:dyDescent="0.25">
      <c r="A107" s="48"/>
      <c r="B107" s="99">
        <v>2</v>
      </c>
      <c r="C107" s="85" t="s">
        <v>326</v>
      </c>
      <c r="D107" s="51"/>
      <c r="E107" s="50"/>
      <c r="F107" s="52"/>
      <c r="G107" s="61"/>
    </row>
    <row r="108" spans="1:7" ht="20.100000000000001" customHeight="1" x14ac:dyDescent="0.25">
      <c r="A108" s="48"/>
      <c r="B108" s="99">
        <v>2</v>
      </c>
      <c r="C108" s="85" t="s">
        <v>327</v>
      </c>
      <c r="D108" s="51"/>
      <c r="E108" s="50"/>
      <c r="F108" s="52"/>
      <c r="G108" s="61"/>
    </row>
    <row r="109" spans="1:7" ht="20.100000000000001" customHeight="1" x14ac:dyDescent="0.25">
      <c r="A109" s="48"/>
      <c r="B109" s="99">
        <v>2</v>
      </c>
      <c r="C109" s="85" t="s">
        <v>328</v>
      </c>
      <c r="D109" s="51"/>
      <c r="E109" s="50"/>
      <c r="F109" s="52"/>
      <c r="G109" s="61"/>
    </row>
    <row r="110" spans="1:7" ht="20.100000000000001" customHeight="1" x14ac:dyDescent="0.25">
      <c r="A110" s="48"/>
      <c r="B110" s="99">
        <v>1</v>
      </c>
      <c r="C110" s="85" t="s">
        <v>329</v>
      </c>
      <c r="D110" s="51"/>
      <c r="E110" s="50"/>
      <c r="F110" s="52"/>
      <c r="G110" s="61"/>
    </row>
    <row r="111" spans="1:7" ht="20.100000000000001" customHeight="1" x14ac:dyDescent="0.25">
      <c r="A111" s="48"/>
      <c r="B111" s="99">
        <v>1</v>
      </c>
      <c r="C111" s="85" t="s">
        <v>330</v>
      </c>
      <c r="D111" s="51"/>
      <c r="E111" s="50"/>
      <c r="F111" s="52"/>
      <c r="G111" s="61"/>
    </row>
    <row r="112" spans="1:7" ht="20.100000000000001" customHeight="1" x14ac:dyDescent="0.25">
      <c r="A112" s="48"/>
      <c r="B112" s="99">
        <v>1</v>
      </c>
      <c r="C112" s="85" t="s">
        <v>331</v>
      </c>
      <c r="D112" s="51"/>
      <c r="E112" s="50"/>
      <c r="F112" s="52"/>
      <c r="G112" s="61"/>
    </row>
    <row r="113" spans="1:7" ht="20.100000000000001" customHeight="1" x14ac:dyDescent="0.25">
      <c r="A113" s="48"/>
      <c r="B113" s="99">
        <v>1</v>
      </c>
      <c r="C113" s="85" t="s">
        <v>332</v>
      </c>
      <c r="D113" s="51"/>
      <c r="E113" s="50"/>
      <c r="F113" s="52"/>
      <c r="G113" s="61"/>
    </row>
    <row r="114" spans="1:7" ht="20.100000000000001" customHeight="1" x14ac:dyDescent="0.25">
      <c r="A114" s="48"/>
      <c r="B114" s="99">
        <v>1</v>
      </c>
      <c r="C114" s="85" t="s">
        <v>333</v>
      </c>
      <c r="D114" s="51"/>
      <c r="E114" s="50"/>
      <c r="F114" s="52"/>
      <c r="G114" s="61"/>
    </row>
    <row r="115" spans="1:7" ht="20.100000000000001" customHeight="1" x14ac:dyDescent="0.25">
      <c r="A115" s="48"/>
      <c r="B115" s="99">
        <v>1</v>
      </c>
      <c r="C115" s="85" t="s">
        <v>334</v>
      </c>
      <c r="D115" s="51"/>
      <c r="E115" s="50"/>
      <c r="F115" s="52"/>
      <c r="G115" s="61"/>
    </row>
    <row r="116" spans="1:7" ht="20.100000000000001" customHeight="1" x14ac:dyDescent="0.25">
      <c r="A116" s="48"/>
      <c r="B116" s="99">
        <v>1</v>
      </c>
      <c r="C116" s="85" t="s">
        <v>335</v>
      </c>
      <c r="D116" s="51"/>
      <c r="E116" s="50"/>
      <c r="F116" s="52"/>
      <c r="G116" s="61"/>
    </row>
    <row r="117" spans="1:7" ht="20.100000000000001" customHeight="1" x14ac:dyDescent="0.25">
      <c r="A117" s="48"/>
      <c r="B117" s="99">
        <v>1</v>
      </c>
      <c r="C117" s="85" t="s">
        <v>336</v>
      </c>
      <c r="D117" s="51"/>
      <c r="E117" s="50"/>
      <c r="F117" s="52"/>
      <c r="G117" s="61"/>
    </row>
    <row r="118" spans="1:7" ht="20.100000000000001" customHeight="1" x14ac:dyDescent="0.25">
      <c r="A118" s="48"/>
      <c r="B118" s="99">
        <v>1</v>
      </c>
      <c r="C118" s="85" t="s">
        <v>337</v>
      </c>
      <c r="D118" s="51"/>
      <c r="E118" s="50"/>
      <c r="F118" s="52"/>
      <c r="G118" s="61"/>
    </row>
    <row r="119" spans="1:7" ht="20.100000000000001" customHeight="1" x14ac:dyDescent="0.25">
      <c r="A119" s="48"/>
      <c r="B119" s="86">
        <v>1</v>
      </c>
      <c r="C119" s="100" t="s">
        <v>338</v>
      </c>
      <c r="D119" s="51"/>
      <c r="E119" s="50"/>
      <c r="F119" s="52"/>
      <c r="G119" s="61"/>
    </row>
    <row r="120" spans="1:7" ht="20.100000000000001" customHeight="1" x14ac:dyDescent="0.25">
      <c r="A120" s="48"/>
      <c r="B120" s="101">
        <v>22</v>
      </c>
      <c r="C120" s="96"/>
      <c r="D120" s="51"/>
      <c r="E120" s="50"/>
      <c r="F120" s="52"/>
      <c r="G120" s="61"/>
    </row>
    <row r="121" spans="1:7" ht="20.100000000000001" customHeight="1" x14ac:dyDescent="0.25">
      <c r="A121" s="48"/>
      <c r="B121" s="49"/>
      <c r="C121" s="50"/>
      <c r="D121" s="51"/>
      <c r="E121" s="50"/>
      <c r="F121" s="52"/>
      <c r="G121" s="61"/>
    </row>
    <row r="122" spans="1:7" ht="20.100000000000001" customHeight="1" x14ac:dyDescent="0.25">
      <c r="A122" s="48"/>
      <c r="B122" s="49"/>
      <c r="C122" s="50"/>
      <c r="D122" s="51"/>
      <c r="E122" s="50"/>
      <c r="F122" s="52"/>
      <c r="G122" s="61"/>
    </row>
    <row r="123" spans="1:7" ht="20.100000000000001" customHeight="1" x14ac:dyDescent="0.25">
      <c r="A123" s="48"/>
      <c r="B123" s="49"/>
      <c r="C123" s="50"/>
      <c r="D123" s="51"/>
      <c r="E123" s="50"/>
      <c r="F123" s="52"/>
      <c r="G123" s="61"/>
    </row>
    <row r="124" spans="1:7" ht="20.100000000000001" customHeight="1" x14ac:dyDescent="0.25">
      <c r="A124" s="48"/>
      <c r="B124" s="90"/>
      <c r="C124" s="84" t="s">
        <v>316</v>
      </c>
      <c r="D124" s="51"/>
      <c r="E124" s="50"/>
      <c r="F124" s="52"/>
      <c r="G124" s="61"/>
    </row>
    <row r="125" spans="1:7" ht="20.100000000000001" customHeight="1" x14ac:dyDescent="0.25">
      <c r="A125" s="48"/>
      <c r="B125" s="84" t="s">
        <v>29</v>
      </c>
      <c r="C125" s="84" t="s">
        <v>222</v>
      </c>
      <c r="D125" s="51"/>
      <c r="E125" s="50"/>
      <c r="F125" s="52"/>
      <c r="G125" s="61"/>
    </row>
    <row r="126" spans="1:7" ht="20.100000000000001" customHeight="1" x14ac:dyDescent="0.25">
      <c r="A126" s="48"/>
      <c r="B126" s="85"/>
      <c r="C126" s="84" t="s">
        <v>223</v>
      </c>
      <c r="D126" s="51"/>
      <c r="E126" s="50"/>
      <c r="F126" s="52"/>
      <c r="G126" s="61"/>
    </row>
    <row r="127" spans="1:7" ht="20.100000000000001" customHeight="1" x14ac:dyDescent="0.25">
      <c r="A127" s="48"/>
      <c r="B127" s="86">
        <v>2</v>
      </c>
      <c r="C127" s="87" t="s">
        <v>224</v>
      </c>
      <c r="D127" s="51"/>
      <c r="E127" s="50"/>
      <c r="F127" s="52"/>
      <c r="G127" s="61"/>
    </row>
    <row r="128" spans="1:7" ht="20.100000000000001" customHeight="1" x14ac:dyDescent="0.25">
      <c r="A128" s="48"/>
      <c r="B128" s="86">
        <v>1</v>
      </c>
      <c r="C128" s="87" t="s">
        <v>225</v>
      </c>
      <c r="D128" s="51"/>
      <c r="E128" s="50"/>
      <c r="F128" s="52"/>
      <c r="G128" s="61"/>
    </row>
    <row r="129" spans="1:7" ht="20.100000000000001" customHeight="1" x14ac:dyDescent="0.25">
      <c r="A129" s="48"/>
      <c r="B129" s="86">
        <v>1</v>
      </c>
      <c r="C129" s="87" t="s">
        <v>226</v>
      </c>
      <c r="D129" s="51"/>
      <c r="E129" s="50"/>
      <c r="F129" s="52"/>
      <c r="G129" s="61"/>
    </row>
    <row r="130" spans="1:7" ht="20.100000000000001" customHeight="1" x14ac:dyDescent="0.25">
      <c r="A130" s="48"/>
      <c r="B130" s="86">
        <v>1</v>
      </c>
      <c r="C130" s="87" t="s">
        <v>227</v>
      </c>
      <c r="D130" s="51"/>
      <c r="E130" s="50"/>
      <c r="F130" s="52"/>
      <c r="G130" s="61"/>
    </row>
    <row r="131" spans="1:7" ht="20.100000000000001" customHeight="1" x14ac:dyDescent="0.25">
      <c r="A131" s="48"/>
      <c r="B131" s="86">
        <v>2</v>
      </c>
      <c r="C131" s="87" t="s">
        <v>317</v>
      </c>
      <c r="D131" s="51"/>
      <c r="E131" s="50"/>
      <c r="F131" s="52"/>
      <c r="G131" s="61"/>
    </row>
    <row r="132" spans="1:7" ht="20.100000000000001" customHeight="1" x14ac:dyDescent="0.25">
      <c r="A132" s="48"/>
      <c r="B132" s="86">
        <v>1</v>
      </c>
      <c r="C132" s="87" t="s">
        <v>229</v>
      </c>
      <c r="D132" s="51"/>
      <c r="E132" s="50"/>
      <c r="F132" s="52"/>
      <c r="G132" s="61"/>
    </row>
    <row r="133" spans="1:7" ht="20.100000000000001" customHeight="1" x14ac:dyDescent="0.25">
      <c r="A133" s="48"/>
      <c r="B133" s="86">
        <v>1</v>
      </c>
      <c r="C133" s="87" t="s">
        <v>230</v>
      </c>
      <c r="D133" s="51"/>
      <c r="E133" s="50"/>
      <c r="F133" s="52"/>
      <c r="G133" s="61"/>
    </row>
    <row r="134" spans="1:7" ht="20.100000000000001" customHeight="1" x14ac:dyDescent="0.25">
      <c r="A134" s="48"/>
      <c r="B134" s="86">
        <v>1</v>
      </c>
      <c r="C134" s="87" t="s">
        <v>231</v>
      </c>
      <c r="D134" s="51"/>
      <c r="E134" s="50"/>
      <c r="F134" s="52"/>
      <c r="G134" s="61"/>
    </row>
    <row r="135" spans="1:7" ht="20.100000000000001" customHeight="1" x14ac:dyDescent="0.25">
      <c r="A135" s="48"/>
      <c r="B135" s="86">
        <v>1</v>
      </c>
      <c r="C135" s="87" t="s">
        <v>232</v>
      </c>
      <c r="D135" s="51"/>
      <c r="E135" s="50"/>
      <c r="F135" s="52"/>
      <c r="G135" s="61"/>
    </row>
    <row r="136" spans="1:7" ht="20.100000000000001" customHeight="1" x14ac:dyDescent="0.25">
      <c r="A136" s="48"/>
      <c r="B136" s="86">
        <v>1</v>
      </c>
      <c r="C136" s="87" t="s">
        <v>233</v>
      </c>
      <c r="D136" s="51"/>
      <c r="E136" s="50"/>
      <c r="F136" s="52"/>
      <c r="G136" s="61"/>
    </row>
    <row r="137" spans="1:7" ht="20.100000000000001" customHeight="1" x14ac:dyDescent="0.25">
      <c r="A137" s="48"/>
      <c r="B137" s="86">
        <v>1</v>
      </c>
      <c r="C137" s="87" t="s">
        <v>234</v>
      </c>
      <c r="D137" s="51"/>
      <c r="E137" s="50"/>
      <c r="F137" s="52"/>
      <c r="G137" s="61"/>
    </row>
    <row r="138" spans="1:7" ht="20.100000000000001" customHeight="1" x14ac:dyDescent="0.25">
      <c r="A138" s="48"/>
      <c r="B138" s="86">
        <v>1</v>
      </c>
      <c r="C138" s="87" t="s">
        <v>318</v>
      </c>
      <c r="D138" s="51"/>
      <c r="E138" s="50"/>
      <c r="F138" s="52"/>
      <c r="G138" s="61"/>
    </row>
    <row r="139" spans="1:7" ht="20.100000000000001" customHeight="1" x14ac:dyDescent="0.25">
      <c r="A139" s="48"/>
      <c r="B139" s="84">
        <f>SUM(B127:B138)</f>
        <v>14</v>
      </c>
      <c r="C139" s="87"/>
      <c r="D139" s="51"/>
      <c r="E139" s="50"/>
      <c r="F139" s="52"/>
      <c r="G139" s="61"/>
    </row>
    <row r="140" spans="1:7" ht="20.100000000000001" customHeight="1" x14ac:dyDescent="0.25">
      <c r="A140" s="48"/>
      <c r="B140" s="85"/>
      <c r="C140" s="84" t="s">
        <v>236</v>
      </c>
      <c r="D140" s="51"/>
      <c r="E140" s="50"/>
      <c r="F140" s="52"/>
      <c r="G140" s="61"/>
    </row>
    <row r="141" spans="1:7" ht="20.100000000000001" customHeight="1" x14ac:dyDescent="0.25">
      <c r="A141" s="48"/>
      <c r="B141" s="86">
        <v>3</v>
      </c>
      <c r="C141" s="87" t="s">
        <v>237</v>
      </c>
      <c r="D141" s="51"/>
      <c r="E141" s="50"/>
      <c r="F141" s="52"/>
      <c r="G141" s="61"/>
    </row>
    <row r="142" spans="1:7" ht="20.100000000000001" customHeight="1" x14ac:dyDescent="0.25">
      <c r="A142" s="48"/>
      <c r="B142" s="86">
        <v>1</v>
      </c>
      <c r="C142" s="87" t="s">
        <v>238</v>
      </c>
      <c r="D142" s="51"/>
      <c r="E142" s="50"/>
      <c r="F142" s="52"/>
      <c r="G142" s="61"/>
    </row>
    <row r="143" spans="1:7" ht="20.100000000000001" customHeight="1" x14ac:dyDescent="0.25">
      <c r="A143" s="48"/>
      <c r="B143" s="86">
        <v>1</v>
      </c>
      <c r="C143" s="87" t="s">
        <v>239</v>
      </c>
      <c r="D143" s="51"/>
      <c r="E143" s="50"/>
      <c r="F143" s="52"/>
      <c r="G143" s="61"/>
    </row>
    <row r="144" spans="1:7" ht="20.100000000000001" customHeight="1" x14ac:dyDescent="0.25">
      <c r="A144" s="48"/>
      <c r="B144" s="86">
        <v>2</v>
      </c>
      <c r="C144" s="87" t="s">
        <v>240</v>
      </c>
      <c r="D144" s="51"/>
      <c r="E144" s="50"/>
      <c r="F144" s="52"/>
      <c r="G144" s="61"/>
    </row>
    <row r="145" spans="1:7" ht="20.100000000000001" customHeight="1" x14ac:dyDescent="0.25">
      <c r="A145" s="48"/>
      <c r="B145" s="86">
        <v>1</v>
      </c>
      <c r="C145" s="87" t="s">
        <v>241</v>
      </c>
      <c r="D145" s="51"/>
      <c r="E145" s="50"/>
      <c r="F145" s="52"/>
      <c r="G145" s="61"/>
    </row>
    <row r="146" spans="1:7" ht="20.100000000000001" customHeight="1" x14ac:dyDescent="0.25">
      <c r="A146" s="48"/>
      <c r="B146" s="86">
        <v>1</v>
      </c>
      <c r="C146" s="87" t="s">
        <v>242</v>
      </c>
      <c r="D146" s="51"/>
      <c r="E146" s="50"/>
      <c r="F146" s="52"/>
      <c r="G146" s="61"/>
    </row>
    <row r="147" spans="1:7" ht="20.100000000000001" customHeight="1" x14ac:dyDescent="0.25">
      <c r="A147" s="48"/>
      <c r="B147" s="86">
        <v>1</v>
      </c>
      <c r="C147" s="87" t="s">
        <v>243</v>
      </c>
      <c r="D147" s="51"/>
      <c r="E147" s="50"/>
      <c r="F147" s="52"/>
      <c r="G147" s="61"/>
    </row>
    <row r="148" spans="1:7" ht="20.100000000000001" customHeight="1" x14ac:dyDescent="0.25">
      <c r="A148" s="48"/>
      <c r="B148" s="86">
        <v>2</v>
      </c>
      <c r="C148" s="87" t="s">
        <v>244</v>
      </c>
      <c r="D148" s="51"/>
      <c r="E148" s="50"/>
      <c r="F148" s="52"/>
      <c r="G148" s="61"/>
    </row>
    <row r="149" spans="1:7" ht="20.100000000000001" customHeight="1" x14ac:dyDescent="0.25">
      <c r="A149" s="48"/>
      <c r="B149" s="86">
        <v>1</v>
      </c>
      <c r="C149" s="88" t="s">
        <v>245</v>
      </c>
      <c r="D149" s="51"/>
      <c r="E149" s="50"/>
      <c r="F149" s="52"/>
      <c r="G149" s="61"/>
    </row>
    <row r="150" spans="1:7" ht="20.100000000000001" customHeight="1" x14ac:dyDescent="0.25">
      <c r="A150" s="48"/>
      <c r="B150" s="86">
        <v>1</v>
      </c>
      <c r="C150" s="87" t="s">
        <v>246</v>
      </c>
      <c r="D150" s="51"/>
      <c r="E150" s="50"/>
      <c r="F150" s="52"/>
      <c r="G150" s="61"/>
    </row>
    <row r="151" spans="1:7" ht="20.100000000000001" customHeight="1" x14ac:dyDescent="0.25">
      <c r="A151" s="48"/>
      <c r="B151" s="86">
        <v>1</v>
      </c>
      <c r="C151" s="87" t="s">
        <v>247</v>
      </c>
      <c r="D151" s="51"/>
      <c r="E151" s="50"/>
      <c r="F151" s="52"/>
      <c r="G151" s="61"/>
    </row>
    <row r="152" spans="1:7" ht="20.100000000000001" customHeight="1" x14ac:dyDescent="0.25">
      <c r="A152" s="48"/>
      <c r="B152" s="86">
        <v>1</v>
      </c>
      <c r="C152" s="87" t="s">
        <v>248</v>
      </c>
      <c r="D152" s="51"/>
      <c r="E152" s="50"/>
      <c r="F152" s="52"/>
      <c r="G152" s="61"/>
    </row>
    <row r="153" spans="1:7" ht="20.100000000000001" customHeight="1" x14ac:dyDescent="0.25">
      <c r="A153" s="48"/>
      <c r="B153" s="86">
        <v>1</v>
      </c>
      <c r="C153" s="87" t="s">
        <v>249</v>
      </c>
      <c r="D153" s="51"/>
      <c r="E153" s="50"/>
      <c r="F153" s="52"/>
      <c r="G153" s="61"/>
    </row>
    <row r="154" spans="1:7" ht="20.100000000000001" customHeight="1" x14ac:dyDescent="0.25">
      <c r="A154" s="48"/>
      <c r="B154" s="86">
        <v>1</v>
      </c>
      <c r="C154" s="87" t="s">
        <v>250</v>
      </c>
      <c r="D154" s="51"/>
      <c r="E154" s="50"/>
      <c r="F154" s="52"/>
      <c r="G154" s="61"/>
    </row>
    <row r="155" spans="1:7" ht="20.100000000000001" customHeight="1" x14ac:dyDescent="0.25">
      <c r="A155" s="48"/>
      <c r="B155" s="86">
        <v>1</v>
      </c>
      <c r="C155" s="87" t="s">
        <v>319</v>
      </c>
      <c r="D155" s="51"/>
      <c r="E155" s="50"/>
      <c r="F155" s="52"/>
      <c r="G155" s="61"/>
    </row>
    <row r="156" spans="1:7" ht="20.100000000000001" customHeight="1" x14ac:dyDescent="0.25">
      <c r="A156" s="48"/>
      <c r="B156" s="84">
        <f>SUM(B141:B155)</f>
        <v>19</v>
      </c>
      <c r="C156" s="87"/>
      <c r="D156" s="51"/>
      <c r="E156" s="50"/>
      <c r="F156" s="52"/>
      <c r="G156" s="61"/>
    </row>
    <row r="157" spans="1:7" ht="20.100000000000001" customHeight="1" x14ac:dyDescent="0.25">
      <c r="A157" s="48"/>
      <c r="B157" s="85"/>
      <c r="C157" s="84" t="s">
        <v>252</v>
      </c>
      <c r="D157" s="51"/>
      <c r="E157" s="50"/>
      <c r="F157" s="52"/>
      <c r="G157" s="61"/>
    </row>
    <row r="158" spans="1:7" ht="20.100000000000001" customHeight="1" x14ac:dyDescent="0.25">
      <c r="A158" s="48"/>
      <c r="B158" s="86">
        <v>1</v>
      </c>
      <c r="C158" s="87" t="s">
        <v>253</v>
      </c>
      <c r="D158" s="51"/>
      <c r="E158" s="50"/>
      <c r="F158" s="52"/>
      <c r="G158" s="61"/>
    </row>
    <row r="159" spans="1:7" ht="20.100000000000001" customHeight="1" x14ac:dyDescent="0.25">
      <c r="A159" s="48"/>
      <c r="B159" s="86">
        <v>1</v>
      </c>
      <c r="C159" s="87" t="s">
        <v>254</v>
      </c>
      <c r="D159" s="51"/>
      <c r="E159" s="50"/>
      <c r="F159" s="52"/>
      <c r="G159" s="61"/>
    </row>
    <row r="160" spans="1:7" ht="20.100000000000001" customHeight="1" x14ac:dyDescent="0.25">
      <c r="A160" s="48"/>
      <c r="B160" s="86">
        <v>1</v>
      </c>
      <c r="C160" s="87" t="s">
        <v>255</v>
      </c>
      <c r="D160" s="51"/>
      <c r="E160" s="50"/>
      <c r="F160" s="52"/>
      <c r="G160" s="61"/>
    </row>
    <row r="161" spans="1:7" ht="20.100000000000001" customHeight="1" x14ac:dyDescent="0.25">
      <c r="A161" s="48"/>
      <c r="B161" s="86">
        <v>1</v>
      </c>
      <c r="C161" s="87" t="s">
        <v>230</v>
      </c>
      <c r="D161" s="51"/>
      <c r="E161" s="50"/>
      <c r="F161" s="52"/>
      <c r="G161" s="61"/>
    </row>
    <row r="162" spans="1:7" ht="20.100000000000001" customHeight="1" x14ac:dyDescent="0.25">
      <c r="A162" s="48"/>
      <c r="B162" s="86">
        <v>2</v>
      </c>
      <c r="C162" s="87" t="s">
        <v>256</v>
      </c>
      <c r="D162" s="51"/>
      <c r="E162" s="50"/>
      <c r="F162" s="52"/>
      <c r="G162" s="61"/>
    </row>
    <row r="163" spans="1:7" ht="20.100000000000001" customHeight="1" x14ac:dyDescent="0.25">
      <c r="A163" s="48"/>
      <c r="B163" s="86">
        <v>1</v>
      </c>
      <c r="C163" s="87" t="s">
        <v>257</v>
      </c>
      <c r="D163" s="51"/>
      <c r="E163" s="50"/>
      <c r="F163" s="52"/>
      <c r="G163" s="61"/>
    </row>
    <row r="164" spans="1:7" ht="20.100000000000001" customHeight="1" x14ac:dyDescent="0.25">
      <c r="A164" s="48"/>
      <c r="B164" s="86">
        <v>1</v>
      </c>
      <c r="C164" s="87" t="s">
        <v>258</v>
      </c>
      <c r="D164" s="51"/>
      <c r="E164" s="50"/>
      <c r="F164" s="52"/>
      <c r="G164" s="61"/>
    </row>
    <row r="165" spans="1:7" ht="20.100000000000001" customHeight="1" x14ac:dyDescent="0.25">
      <c r="A165" s="48"/>
      <c r="B165" s="86">
        <v>1</v>
      </c>
      <c r="C165" s="87" t="s">
        <v>259</v>
      </c>
      <c r="D165" s="51"/>
      <c r="E165" s="50"/>
      <c r="F165" s="52"/>
      <c r="G165" s="61"/>
    </row>
    <row r="166" spans="1:7" ht="20.100000000000001" customHeight="1" x14ac:dyDescent="0.25">
      <c r="A166" s="48"/>
      <c r="B166" s="86" t="s">
        <v>260</v>
      </c>
      <c r="C166" s="87" t="s">
        <v>261</v>
      </c>
      <c r="D166" s="51"/>
      <c r="E166" s="50"/>
      <c r="F166" s="52"/>
      <c r="G166" s="61"/>
    </row>
    <row r="167" spans="1:7" ht="20.100000000000001" customHeight="1" x14ac:dyDescent="0.25">
      <c r="A167" s="48"/>
      <c r="B167" s="86">
        <v>1</v>
      </c>
      <c r="C167" s="87" t="s">
        <v>262</v>
      </c>
      <c r="D167" s="51"/>
      <c r="E167" s="50"/>
      <c r="F167" s="52"/>
      <c r="G167" s="61"/>
    </row>
    <row r="168" spans="1:7" ht="20.100000000000001" customHeight="1" x14ac:dyDescent="0.25">
      <c r="A168" s="48"/>
      <c r="B168" s="86">
        <v>1</v>
      </c>
      <c r="C168" s="87" t="s">
        <v>263</v>
      </c>
      <c r="D168" s="51"/>
      <c r="E168" s="50"/>
      <c r="F168" s="52"/>
      <c r="G168" s="61"/>
    </row>
    <row r="169" spans="1:7" ht="20.100000000000001" customHeight="1" x14ac:dyDescent="0.25">
      <c r="A169" s="48"/>
      <c r="B169" s="86">
        <v>1</v>
      </c>
      <c r="C169" s="87" t="s">
        <v>264</v>
      </c>
      <c r="D169" s="51"/>
      <c r="E169" s="50"/>
      <c r="F169" s="52"/>
      <c r="G169" s="61"/>
    </row>
    <row r="170" spans="1:7" ht="20.100000000000001" customHeight="1" x14ac:dyDescent="0.25">
      <c r="A170" s="48"/>
      <c r="B170" s="84">
        <v>15</v>
      </c>
      <c r="C170" s="87"/>
      <c r="D170" s="51"/>
      <c r="E170" s="50"/>
      <c r="F170" s="52"/>
      <c r="G170" s="61"/>
    </row>
    <row r="171" spans="1:7" ht="20.100000000000001" customHeight="1" x14ac:dyDescent="0.25">
      <c r="A171" s="48"/>
      <c r="B171" s="85"/>
      <c r="C171" s="84" t="s">
        <v>265</v>
      </c>
      <c r="D171" s="51"/>
      <c r="E171" s="50"/>
      <c r="F171" s="52"/>
      <c r="G171" s="61"/>
    </row>
    <row r="172" spans="1:7" ht="20.100000000000001" customHeight="1" x14ac:dyDescent="0.25">
      <c r="A172" s="48"/>
      <c r="B172" s="86">
        <v>1</v>
      </c>
      <c r="C172" s="88" t="s">
        <v>266</v>
      </c>
      <c r="D172" s="51"/>
      <c r="E172" s="50"/>
      <c r="F172" s="52"/>
      <c r="G172" s="61"/>
    </row>
    <row r="173" spans="1:7" ht="20.100000000000001" customHeight="1" x14ac:dyDescent="0.25">
      <c r="A173" s="48"/>
      <c r="B173" s="86">
        <v>2</v>
      </c>
      <c r="C173" s="88" t="s">
        <v>267</v>
      </c>
      <c r="D173" s="51"/>
      <c r="E173" s="50"/>
      <c r="F173" s="52"/>
      <c r="G173" s="61"/>
    </row>
    <row r="174" spans="1:7" ht="20.100000000000001" customHeight="1" x14ac:dyDescent="0.25">
      <c r="A174" s="48"/>
      <c r="B174" s="86">
        <v>1</v>
      </c>
      <c r="C174" s="88" t="s">
        <v>268</v>
      </c>
      <c r="D174" s="51"/>
      <c r="E174" s="50"/>
      <c r="F174" s="52"/>
      <c r="G174" s="61"/>
    </row>
    <row r="175" spans="1:7" ht="20.100000000000001" customHeight="1" x14ac:dyDescent="0.25">
      <c r="A175" s="48"/>
      <c r="B175" s="86">
        <v>1</v>
      </c>
      <c r="C175" s="88" t="s">
        <v>269</v>
      </c>
      <c r="D175" s="51"/>
      <c r="E175" s="50"/>
      <c r="F175" s="52"/>
      <c r="G175" s="61"/>
    </row>
    <row r="176" spans="1:7" ht="20.100000000000001" customHeight="1" x14ac:dyDescent="0.25">
      <c r="A176" s="48"/>
      <c r="B176" s="86">
        <v>3</v>
      </c>
      <c r="C176" s="88" t="s">
        <v>270</v>
      </c>
      <c r="D176" s="51"/>
      <c r="E176" s="50"/>
      <c r="F176" s="52"/>
      <c r="G176" s="61"/>
    </row>
    <row r="177" spans="1:7" ht="20.100000000000001" customHeight="1" x14ac:dyDescent="0.25">
      <c r="A177" s="48"/>
      <c r="B177" s="86">
        <v>1</v>
      </c>
      <c r="C177" s="88" t="s">
        <v>271</v>
      </c>
      <c r="D177" s="51"/>
      <c r="E177" s="50"/>
      <c r="F177" s="52"/>
      <c r="G177" s="61"/>
    </row>
    <row r="178" spans="1:7" ht="20.100000000000001" customHeight="1" x14ac:dyDescent="0.25">
      <c r="A178" s="48"/>
      <c r="B178" s="86">
        <v>1</v>
      </c>
      <c r="C178" s="88" t="s">
        <v>272</v>
      </c>
      <c r="D178" s="51"/>
      <c r="E178" s="50"/>
      <c r="F178" s="52"/>
      <c r="G178" s="61"/>
    </row>
    <row r="179" spans="1:7" ht="20.100000000000001" customHeight="1" x14ac:dyDescent="0.25">
      <c r="A179" s="48"/>
      <c r="B179" s="86">
        <v>1</v>
      </c>
      <c r="C179" s="88" t="s">
        <v>273</v>
      </c>
      <c r="D179" s="51"/>
      <c r="E179" s="50"/>
      <c r="F179" s="52"/>
      <c r="G179" s="61"/>
    </row>
    <row r="180" spans="1:7" ht="20.100000000000001" customHeight="1" x14ac:dyDescent="0.25">
      <c r="A180" s="48"/>
      <c r="B180" s="86">
        <v>1</v>
      </c>
      <c r="C180" s="88" t="s">
        <v>274</v>
      </c>
      <c r="D180" s="51"/>
      <c r="E180" s="50"/>
      <c r="F180" s="52"/>
      <c r="G180" s="61"/>
    </row>
    <row r="181" spans="1:7" ht="20.100000000000001" customHeight="1" x14ac:dyDescent="0.25">
      <c r="A181" s="48"/>
      <c r="B181" s="86">
        <v>1</v>
      </c>
      <c r="C181" s="88" t="s">
        <v>275</v>
      </c>
      <c r="D181" s="51"/>
      <c r="E181" s="50"/>
      <c r="F181" s="52"/>
      <c r="G181" s="61"/>
    </row>
    <row r="182" spans="1:7" ht="20.100000000000001" customHeight="1" x14ac:dyDescent="0.25">
      <c r="A182" s="48"/>
      <c r="B182" s="86">
        <v>1</v>
      </c>
      <c r="C182" s="88" t="s">
        <v>276</v>
      </c>
      <c r="D182" s="51"/>
      <c r="E182" s="50"/>
      <c r="F182" s="52"/>
      <c r="G182" s="61"/>
    </row>
    <row r="183" spans="1:7" ht="20.100000000000001" customHeight="1" x14ac:dyDescent="0.25">
      <c r="A183" s="48"/>
      <c r="B183" s="86">
        <v>1</v>
      </c>
      <c r="C183" s="88" t="s">
        <v>277</v>
      </c>
      <c r="D183" s="51"/>
      <c r="E183" s="50"/>
      <c r="F183" s="52"/>
      <c r="G183" s="61"/>
    </row>
    <row r="184" spans="1:7" ht="20.100000000000001" customHeight="1" x14ac:dyDescent="0.25">
      <c r="A184" s="48"/>
      <c r="B184" s="86">
        <v>1</v>
      </c>
      <c r="C184" s="88" t="s">
        <v>278</v>
      </c>
      <c r="D184" s="51"/>
      <c r="E184" s="50"/>
      <c r="F184" s="52"/>
      <c r="G184" s="61"/>
    </row>
    <row r="185" spans="1:7" ht="20.100000000000001" customHeight="1" x14ac:dyDescent="0.25">
      <c r="A185" s="48"/>
      <c r="B185" s="86">
        <v>1</v>
      </c>
      <c r="C185" s="88" t="s">
        <v>279</v>
      </c>
      <c r="D185" s="51"/>
      <c r="E185" s="50"/>
      <c r="F185" s="52"/>
      <c r="G185" s="61"/>
    </row>
    <row r="186" spans="1:7" ht="20.100000000000001" customHeight="1" x14ac:dyDescent="0.25">
      <c r="A186" s="48"/>
      <c r="B186" s="86">
        <v>1</v>
      </c>
      <c r="C186" s="88" t="s">
        <v>280</v>
      </c>
      <c r="D186" s="51"/>
      <c r="E186" s="50"/>
      <c r="F186" s="52"/>
      <c r="G186" s="61"/>
    </row>
    <row r="187" spans="1:7" ht="20.100000000000001" customHeight="1" x14ac:dyDescent="0.25">
      <c r="A187" s="48"/>
      <c r="B187" s="86">
        <v>1</v>
      </c>
      <c r="C187" s="87" t="s">
        <v>281</v>
      </c>
      <c r="D187" s="51"/>
      <c r="E187" s="50"/>
      <c r="F187" s="52"/>
      <c r="G187" s="61"/>
    </row>
    <row r="188" spans="1:7" ht="20.100000000000001" customHeight="1" x14ac:dyDescent="0.25">
      <c r="A188" s="48"/>
      <c r="B188" s="86">
        <v>1</v>
      </c>
      <c r="C188" s="87" t="s">
        <v>282</v>
      </c>
      <c r="D188" s="51"/>
      <c r="E188" s="50"/>
      <c r="F188" s="52"/>
      <c r="G188" s="61"/>
    </row>
    <row r="189" spans="1:7" ht="20.100000000000001" customHeight="1" x14ac:dyDescent="0.25">
      <c r="A189" s="48"/>
      <c r="B189" s="86">
        <v>6</v>
      </c>
      <c r="C189" s="88" t="s">
        <v>320</v>
      </c>
      <c r="D189" s="51"/>
      <c r="E189" s="50"/>
      <c r="F189" s="52"/>
      <c r="G189" s="61"/>
    </row>
    <row r="190" spans="1:7" ht="20.100000000000001" customHeight="1" x14ac:dyDescent="0.25">
      <c r="A190" s="48"/>
      <c r="B190" s="86">
        <v>3</v>
      </c>
      <c r="C190" s="88" t="s">
        <v>284</v>
      </c>
      <c r="D190" s="51"/>
      <c r="E190" s="50"/>
      <c r="F190" s="52"/>
      <c r="G190" s="61"/>
    </row>
    <row r="191" spans="1:7" ht="20.100000000000001" customHeight="1" x14ac:dyDescent="0.25">
      <c r="A191" s="48"/>
      <c r="B191" s="84">
        <f>SUM(B172:B190)</f>
        <v>29</v>
      </c>
      <c r="C191" s="87"/>
      <c r="D191" s="51"/>
      <c r="E191" s="50"/>
      <c r="F191" s="52"/>
      <c r="G191" s="61"/>
    </row>
    <row r="192" spans="1:7" ht="20.100000000000001" customHeight="1" x14ac:dyDescent="0.25">
      <c r="A192" s="48"/>
      <c r="B192" s="86"/>
      <c r="C192" s="87"/>
      <c r="D192" s="51"/>
      <c r="E192" s="50"/>
      <c r="F192" s="52"/>
      <c r="G192" s="61"/>
    </row>
    <row r="193" spans="1:7" ht="20.100000000000001" customHeight="1" x14ac:dyDescent="0.25">
      <c r="A193" s="48"/>
      <c r="B193" s="86">
        <v>1</v>
      </c>
      <c r="C193" s="87" t="s">
        <v>307</v>
      </c>
      <c r="D193" s="51"/>
      <c r="E193" s="50"/>
      <c r="F193" s="52"/>
      <c r="G193" s="61"/>
    </row>
    <row r="194" spans="1:7" ht="20.100000000000001" customHeight="1" x14ac:dyDescent="0.25">
      <c r="A194" s="48"/>
      <c r="B194" s="86">
        <v>1</v>
      </c>
      <c r="C194" s="87" t="s">
        <v>285</v>
      </c>
      <c r="D194" s="51"/>
      <c r="E194" s="50"/>
      <c r="F194" s="52"/>
      <c r="G194" s="61"/>
    </row>
    <row r="195" spans="1:7" ht="20.100000000000001" customHeight="1" x14ac:dyDescent="0.25">
      <c r="A195" s="48"/>
      <c r="B195" s="86">
        <v>1</v>
      </c>
      <c r="C195" s="87" t="s">
        <v>321</v>
      </c>
      <c r="D195" s="51"/>
      <c r="E195" s="50"/>
      <c r="F195" s="52"/>
      <c r="G195" s="61"/>
    </row>
    <row r="196" spans="1:7" ht="20.100000000000001" customHeight="1" x14ac:dyDescent="0.25">
      <c r="A196" s="48"/>
      <c r="B196" s="84">
        <v>8</v>
      </c>
      <c r="C196" s="89"/>
      <c r="D196" s="51"/>
      <c r="E196" s="50"/>
      <c r="F196" s="52"/>
      <c r="G196" s="61"/>
    </row>
    <row r="197" spans="1:7" ht="20.100000000000001" customHeight="1" x14ac:dyDescent="0.2">
      <c r="A197" s="63"/>
      <c r="B197" s="49"/>
      <c r="C197" s="63"/>
      <c r="D197" s="63"/>
      <c r="E197" s="63"/>
      <c r="F197" s="63"/>
      <c r="G197" s="63"/>
    </row>
    <row r="198" spans="1:7" ht="20.100000000000001" customHeight="1" x14ac:dyDescent="0.2">
      <c r="A198" s="63"/>
      <c r="B198" s="49"/>
      <c r="C198" s="63"/>
      <c r="D198" s="63"/>
      <c r="E198" s="63"/>
      <c r="F198" s="63"/>
      <c r="G198" s="63"/>
    </row>
    <row r="199" spans="1:7" ht="20.100000000000001" customHeight="1" x14ac:dyDescent="0.2">
      <c r="A199" s="63"/>
      <c r="B199" s="63"/>
      <c r="C199" s="63"/>
      <c r="D199" s="63"/>
      <c r="E199" s="63"/>
      <c r="F199" s="63"/>
      <c r="G199" s="63"/>
    </row>
    <row r="200" spans="1:7" ht="20.100000000000001" customHeight="1" x14ac:dyDescent="0.2">
      <c r="A200" s="63"/>
      <c r="B200" s="63"/>
      <c r="C200" s="63"/>
      <c r="D200" s="63"/>
      <c r="E200" s="63"/>
      <c r="F200" s="63"/>
      <c r="G200" s="63"/>
    </row>
    <row r="201" spans="1:7" ht="20.100000000000001" customHeight="1" x14ac:dyDescent="0.2">
      <c r="B201" s="10"/>
      <c r="C201" s="62" t="s">
        <v>15</v>
      </c>
      <c r="D201" s="63"/>
      <c r="E201" s="63"/>
      <c r="F201" s="63"/>
      <c r="G201" s="63"/>
    </row>
    <row r="202" spans="1:7" ht="20.100000000000001" customHeight="1" x14ac:dyDescent="0.2">
      <c r="B202" s="10"/>
      <c r="C202" s="63"/>
      <c r="D202" s="63"/>
      <c r="E202" s="63"/>
      <c r="F202" s="63"/>
      <c r="G202" s="63"/>
    </row>
    <row r="203" spans="1:7" ht="20.100000000000001" customHeight="1" x14ac:dyDescent="0.2">
      <c r="B203" s="10"/>
      <c r="C203" s="63"/>
      <c r="D203" s="63"/>
      <c r="E203" s="63"/>
      <c r="F203" s="63"/>
      <c r="G203" s="63"/>
    </row>
    <row r="204" spans="1:7" ht="20.100000000000001" customHeight="1" x14ac:dyDescent="0.2">
      <c r="B204" s="10"/>
      <c r="C204" s="63"/>
      <c r="D204" s="63"/>
      <c r="E204" s="63"/>
      <c r="F204" s="63"/>
      <c r="G204" s="63"/>
    </row>
    <row r="205" spans="1:7" ht="20.100000000000001" customHeight="1" x14ac:dyDescent="0.2">
      <c r="B205" s="10"/>
      <c r="C205" s="62" t="s">
        <v>16</v>
      </c>
      <c r="D205" s="63"/>
      <c r="E205" s="63"/>
      <c r="F205" s="63"/>
      <c r="G205" s="63"/>
    </row>
    <row r="206" spans="1:7" ht="20.100000000000001" customHeight="1" x14ac:dyDescent="0.2">
      <c r="B206" s="10"/>
      <c r="C206" s="63"/>
      <c r="D206" s="63"/>
      <c r="E206" s="63"/>
      <c r="F206" s="63"/>
      <c r="G206" s="63"/>
    </row>
    <row r="207" spans="1:7" ht="20.100000000000001" customHeight="1" x14ac:dyDescent="0.2">
      <c r="B207" s="10"/>
      <c r="C207" s="55"/>
      <c r="D207" s="55"/>
      <c r="E207" s="63"/>
      <c r="F207" s="56"/>
      <c r="G207" s="56"/>
    </row>
    <row r="208" spans="1:7" ht="20.100000000000001" customHeight="1" x14ac:dyDescent="0.2">
      <c r="B208" s="10"/>
      <c r="C208" s="62" t="s">
        <v>58</v>
      </c>
      <c r="D208" s="63"/>
      <c r="E208" s="63"/>
      <c r="F208" s="56"/>
      <c r="G208" s="57"/>
    </row>
    <row r="209" spans="2:7" ht="20.100000000000001" customHeight="1" x14ac:dyDescent="0.2">
      <c r="B209" s="10"/>
      <c r="C209" s="53"/>
      <c r="D209" s="58"/>
      <c r="E209" s="63"/>
      <c r="F209" s="54"/>
      <c r="G209" s="57"/>
    </row>
    <row r="210" spans="2:7" ht="20.100000000000001" customHeight="1" x14ac:dyDescent="0.2">
      <c r="B210" s="10"/>
      <c r="C210" s="53"/>
      <c r="D210" s="58"/>
      <c r="E210" s="63"/>
      <c r="F210" s="54"/>
      <c r="G210" s="57"/>
    </row>
    <row r="211" spans="2:7" ht="20.100000000000001" customHeight="1" x14ac:dyDescent="0.2">
      <c r="B211" s="10"/>
      <c r="C211" s="62" t="s">
        <v>17</v>
      </c>
      <c r="D211" s="58"/>
      <c r="E211" s="63"/>
      <c r="F211" s="54"/>
      <c r="G211" s="57"/>
    </row>
    <row r="212" spans="2:7" ht="20.100000000000001" customHeight="1" x14ac:dyDescent="0.2">
      <c r="B212" s="10"/>
      <c r="C212" s="53"/>
      <c r="D212" s="58"/>
      <c r="E212" s="63"/>
      <c r="F212" s="54"/>
      <c r="G212" s="57"/>
    </row>
    <row r="213" spans="2:7" ht="20.100000000000001" customHeight="1" x14ac:dyDescent="0.2">
      <c r="B213" s="10"/>
      <c r="C213" s="57"/>
      <c r="D213" s="59"/>
      <c r="E213" s="63"/>
      <c r="F213" s="57"/>
      <c r="G213" s="57"/>
    </row>
    <row r="214" spans="2:7" ht="20.100000000000001" customHeight="1" x14ac:dyDescent="0.25">
      <c r="B214" s="10"/>
      <c r="C214" s="62" t="s">
        <v>18</v>
      </c>
      <c r="D214"/>
      <c r="E214" s="63"/>
      <c r="F214"/>
      <c r="G214" s="57"/>
    </row>
    <row r="215" spans="2:7" ht="20.100000000000001" customHeight="1" x14ac:dyDescent="0.2">
      <c r="E215" s="63"/>
    </row>
    <row r="216" spans="2:7" ht="20.100000000000001" customHeight="1" x14ac:dyDescent="0.2">
      <c r="E216" s="63"/>
    </row>
    <row r="217" spans="2:7" ht="20.100000000000001" customHeight="1" x14ac:dyDescent="0.2">
      <c r="E217" s="63"/>
    </row>
    <row r="218" spans="2:7" ht="20.100000000000001" customHeight="1" x14ac:dyDescent="0.2">
      <c r="E218" s="63"/>
    </row>
    <row r="219" spans="2:7" ht="20.100000000000001" customHeight="1" x14ac:dyDescent="0.2">
      <c r="E219" s="63"/>
    </row>
    <row r="220" spans="2:7" ht="20.100000000000001" customHeight="1" x14ac:dyDescent="0.2">
      <c r="E220" s="63"/>
    </row>
    <row r="221" spans="2:7" ht="20.100000000000001" customHeight="1" x14ac:dyDescent="0.2">
      <c r="E221" s="63"/>
    </row>
    <row r="222" spans="2:7" ht="20.100000000000001" customHeight="1" x14ac:dyDescent="0.2">
      <c r="E222" s="63"/>
    </row>
    <row r="223" spans="2:7" ht="20.100000000000001" customHeight="1" x14ac:dyDescent="0.2">
      <c r="E223" s="63"/>
    </row>
    <row r="224" spans="2:7" ht="20.100000000000001" customHeight="1" x14ac:dyDescent="0.2">
      <c r="E224" s="63"/>
    </row>
    <row r="225" spans="5:5" ht="20.100000000000001" customHeight="1" x14ac:dyDescent="0.2">
      <c r="E225" s="63"/>
    </row>
    <row r="226" spans="5:5" ht="20.100000000000001" customHeight="1" x14ac:dyDescent="0.2">
      <c r="E226" s="63"/>
    </row>
    <row r="227" spans="5:5" ht="20.100000000000001" customHeight="1" x14ac:dyDescent="0.2">
      <c r="E227" s="63"/>
    </row>
    <row r="228" spans="5:5" ht="20.100000000000001" customHeight="1" x14ac:dyDescent="0.2">
      <c r="E228" s="63"/>
    </row>
    <row r="229" spans="5:5" ht="20.100000000000001" customHeight="1" x14ac:dyDescent="0.2">
      <c r="E229" s="63"/>
    </row>
    <row r="230" spans="5:5" ht="20.100000000000001" customHeight="1" x14ac:dyDescent="0.2">
      <c r="E230" s="63"/>
    </row>
    <row r="231" spans="5:5" ht="20.100000000000001" customHeight="1" x14ac:dyDescent="0.2">
      <c r="E231" s="63"/>
    </row>
    <row r="232" spans="5:5" ht="20.100000000000001" customHeight="1" x14ac:dyDescent="0.2">
      <c r="E232" s="63"/>
    </row>
    <row r="233" spans="5:5" ht="20.100000000000001" customHeight="1" x14ac:dyDescent="0.2">
      <c r="E233" s="63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5"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1ADEA-9ACF-47D7-B6EC-CAB24F35EED8}">
  <dimension ref="A2:O221"/>
  <sheetViews>
    <sheetView workbookViewId="0">
      <selection sqref="A1:XFD1048576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5" customWidth="1"/>
    <col min="3" max="3" width="86.7109375" style="34" bestFit="1" customWidth="1"/>
    <col min="4" max="4" width="19.85546875" style="34" customWidth="1"/>
    <col min="5" max="5" width="16.5703125" style="34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07" t="s">
        <v>24</v>
      </c>
      <c r="D2" s="105" t="s">
        <v>23</v>
      </c>
      <c r="E2" s="105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07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06" t="s">
        <v>25</v>
      </c>
      <c r="D4" s="9" t="s">
        <v>30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106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04"/>
      <c r="N5" s="104"/>
      <c r="O5" s="10"/>
    </row>
    <row r="6" spans="1:15" ht="20.100000000000001" customHeight="1" x14ac:dyDescent="0.25">
      <c r="A6" s="17"/>
      <c r="B6" s="17"/>
      <c r="C6" s="17"/>
      <c r="D6" s="17"/>
      <c r="E6" s="17"/>
      <c r="M6" s="104"/>
      <c r="N6" s="104"/>
    </row>
    <row r="7" spans="1:15" ht="20.100000000000001" customHeight="1" x14ac:dyDescent="0.2">
      <c r="A7" s="18" t="s">
        <v>0</v>
      </c>
      <c r="B7" s="18"/>
      <c r="C7" s="24">
        <v>45042</v>
      </c>
      <c r="D7" s="18" t="s">
        <v>1</v>
      </c>
      <c r="E7" s="19">
        <v>20230400465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69" t="s">
        <v>59</v>
      </c>
      <c r="D9" s="21" t="s">
        <v>3</v>
      </c>
      <c r="E9" s="70">
        <v>20230200079</v>
      </c>
      <c r="M9" s="16"/>
      <c r="N9" s="16"/>
    </row>
    <row r="10" spans="1:15" ht="9" customHeight="1" x14ac:dyDescent="0.25">
      <c r="A10" s="20"/>
      <c r="B10" s="20"/>
      <c r="C10" s="67"/>
      <c r="D10" s="20"/>
      <c r="E10" s="20"/>
      <c r="M10" s="16"/>
      <c r="N10" s="16"/>
    </row>
    <row r="11" spans="1:15" ht="20.100000000000001" customHeight="1" x14ac:dyDescent="0.2">
      <c r="A11" s="102" t="s">
        <v>21</v>
      </c>
      <c r="B11" s="103"/>
      <c r="C11" s="69" t="s">
        <v>59</v>
      </c>
      <c r="D11" s="21" t="s">
        <v>22</v>
      </c>
      <c r="E11" s="23" t="s">
        <v>28</v>
      </c>
      <c r="M11" s="16"/>
      <c r="N11" s="16"/>
    </row>
    <row r="12" spans="1:15" ht="9.75" customHeight="1" x14ac:dyDescent="0.25">
      <c r="A12" s="20"/>
      <c r="B12" s="20"/>
      <c r="C12" s="67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68" t="s">
        <v>60</v>
      </c>
      <c r="D13" s="21" t="s">
        <v>5</v>
      </c>
      <c r="E13" s="22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4">
        <v>45043</v>
      </c>
      <c r="D15" s="21" t="s">
        <v>7</v>
      </c>
      <c r="E15" s="25" t="s">
        <v>62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2" t="s">
        <v>61</v>
      </c>
      <c r="D17" s="26"/>
      <c r="E17" s="27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2" t="s">
        <v>63</v>
      </c>
      <c r="D19" s="21" t="s">
        <v>19</v>
      </c>
      <c r="E19" s="25" t="s">
        <v>289</v>
      </c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8"/>
      <c r="D21" s="29"/>
      <c r="E21" s="30"/>
      <c r="M21" s="16"/>
      <c r="N21" s="16"/>
    </row>
    <row r="22" spans="1:14" ht="11.25" customHeight="1" x14ac:dyDescent="0.2">
      <c r="A22" s="31"/>
      <c r="B22" s="32"/>
      <c r="C22" s="31"/>
      <c r="D22" s="31"/>
      <c r="E22" s="31"/>
      <c r="G22" s="33"/>
      <c r="H22" s="33"/>
    </row>
    <row r="23" spans="1:14" ht="35.25" customHeight="1" x14ac:dyDescent="0.25">
      <c r="A23" s="37" t="s">
        <v>10</v>
      </c>
      <c r="B23" s="38" t="s">
        <v>11</v>
      </c>
      <c r="C23" s="38" t="s">
        <v>12</v>
      </c>
      <c r="D23" s="38" t="s">
        <v>13</v>
      </c>
      <c r="E23" s="38" t="s">
        <v>14</v>
      </c>
      <c r="F23" s="39" t="s">
        <v>32</v>
      </c>
      <c r="G23" s="40" t="s">
        <v>33</v>
      </c>
    </row>
    <row r="24" spans="1:14" ht="20.100000000000001" customHeight="1" x14ac:dyDescent="0.2">
      <c r="A24" s="71" t="s">
        <v>64</v>
      </c>
      <c r="B24" s="71">
        <v>200718103</v>
      </c>
      <c r="C24" s="72" t="s">
        <v>65</v>
      </c>
      <c r="D24" s="73">
        <v>1</v>
      </c>
      <c r="E24" s="41"/>
      <c r="F24" s="42">
        <v>10</v>
      </c>
      <c r="G24" s="42">
        <v>10</v>
      </c>
    </row>
    <row r="25" spans="1:14" ht="20.100000000000001" customHeight="1" x14ac:dyDescent="0.2">
      <c r="A25" s="74" t="s">
        <v>66</v>
      </c>
      <c r="B25" s="74" t="s">
        <v>67</v>
      </c>
      <c r="C25" s="75" t="s">
        <v>68</v>
      </c>
      <c r="D25" s="73">
        <v>1</v>
      </c>
      <c r="E25" s="41"/>
      <c r="F25" s="42">
        <v>10</v>
      </c>
      <c r="G25" s="42">
        <v>10</v>
      </c>
    </row>
    <row r="26" spans="1:14" ht="20.100000000000001" customHeight="1" x14ac:dyDescent="0.2">
      <c r="A26" s="71" t="s">
        <v>69</v>
      </c>
      <c r="B26" s="71" t="s">
        <v>70</v>
      </c>
      <c r="C26" s="72" t="s">
        <v>71</v>
      </c>
      <c r="D26" s="73">
        <v>1</v>
      </c>
      <c r="E26" s="41"/>
      <c r="F26" s="42">
        <v>10</v>
      </c>
      <c r="G26" s="42">
        <v>20</v>
      </c>
    </row>
    <row r="27" spans="1:14" ht="20.100000000000001" customHeight="1" x14ac:dyDescent="0.2">
      <c r="A27" s="74" t="s">
        <v>72</v>
      </c>
      <c r="B27" s="74">
        <v>200718202</v>
      </c>
      <c r="C27" s="75" t="s">
        <v>73</v>
      </c>
      <c r="D27" s="73">
        <v>1</v>
      </c>
      <c r="E27" s="41"/>
      <c r="F27" s="42">
        <v>10</v>
      </c>
      <c r="G27" s="42">
        <v>10</v>
      </c>
    </row>
    <row r="28" spans="1:14" ht="20.100000000000001" customHeight="1" x14ac:dyDescent="0.2">
      <c r="A28" s="71" t="s">
        <v>74</v>
      </c>
      <c r="B28" s="71" t="s">
        <v>75</v>
      </c>
      <c r="C28" s="72" t="s">
        <v>76</v>
      </c>
      <c r="D28" s="73">
        <v>1</v>
      </c>
      <c r="E28" s="41"/>
      <c r="F28" s="42">
        <v>10</v>
      </c>
      <c r="G28" s="42">
        <v>50</v>
      </c>
    </row>
    <row r="29" spans="1:14" ht="20.100000000000001" customHeight="1" x14ac:dyDescent="0.2">
      <c r="A29" s="74" t="s">
        <v>77</v>
      </c>
      <c r="B29" s="74">
        <v>1710071821</v>
      </c>
      <c r="C29" s="75" t="s">
        <v>78</v>
      </c>
      <c r="D29" s="73">
        <v>1</v>
      </c>
      <c r="E29" s="41"/>
      <c r="F29" s="42">
        <v>10</v>
      </c>
      <c r="G29" s="42">
        <v>10</v>
      </c>
    </row>
    <row r="30" spans="1:14" ht="20.100000000000001" customHeight="1" x14ac:dyDescent="0.2">
      <c r="A30" s="71" t="s">
        <v>79</v>
      </c>
      <c r="B30" s="71" t="s">
        <v>80</v>
      </c>
      <c r="C30" s="72" t="s">
        <v>81</v>
      </c>
      <c r="D30" s="73">
        <v>1</v>
      </c>
      <c r="E30" s="43"/>
      <c r="F30" s="42">
        <v>10</v>
      </c>
      <c r="G30" s="42">
        <v>10</v>
      </c>
    </row>
    <row r="31" spans="1:14" ht="20.100000000000001" customHeight="1" x14ac:dyDescent="0.2">
      <c r="A31" s="74" t="s">
        <v>82</v>
      </c>
      <c r="B31" s="74">
        <v>190718302</v>
      </c>
      <c r="C31" s="75" t="s">
        <v>83</v>
      </c>
      <c r="D31" s="73">
        <v>1</v>
      </c>
      <c r="E31" s="43"/>
      <c r="F31" s="42">
        <v>10</v>
      </c>
      <c r="G31" s="42">
        <v>20</v>
      </c>
    </row>
    <row r="32" spans="1:14" ht="20.100000000000001" customHeight="1" x14ac:dyDescent="0.2">
      <c r="A32" s="71" t="s">
        <v>84</v>
      </c>
      <c r="B32" s="71">
        <v>1708071836</v>
      </c>
      <c r="C32" s="72" t="s">
        <v>85</v>
      </c>
      <c r="D32" s="73">
        <v>1</v>
      </c>
      <c r="E32" s="43"/>
      <c r="F32" s="42">
        <v>10</v>
      </c>
      <c r="G32" s="42">
        <v>10</v>
      </c>
    </row>
    <row r="33" spans="1:7" ht="20.100000000000001" customHeight="1" x14ac:dyDescent="0.2">
      <c r="A33" s="74" t="s">
        <v>86</v>
      </c>
      <c r="B33" s="74">
        <v>180718401</v>
      </c>
      <c r="C33" s="75" t="s">
        <v>87</v>
      </c>
      <c r="D33" s="73">
        <v>1</v>
      </c>
      <c r="E33" s="43"/>
      <c r="F33" s="42">
        <v>10</v>
      </c>
      <c r="G33" s="42">
        <v>50</v>
      </c>
    </row>
    <row r="34" spans="1:7" ht="20.100000000000001" customHeight="1" x14ac:dyDescent="0.2">
      <c r="A34" s="71" t="s">
        <v>88</v>
      </c>
      <c r="B34" s="71">
        <v>200718404</v>
      </c>
      <c r="C34" s="72" t="s">
        <v>89</v>
      </c>
      <c r="D34" s="73">
        <v>1</v>
      </c>
      <c r="E34" s="43"/>
      <c r="F34" s="42">
        <v>10</v>
      </c>
      <c r="G34" s="42">
        <v>20</v>
      </c>
    </row>
    <row r="35" spans="1:7" ht="20.100000000000001" customHeight="1" x14ac:dyDescent="0.2">
      <c r="A35" s="74" t="s">
        <v>90</v>
      </c>
      <c r="B35" s="74" t="s">
        <v>91</v>
      </c>
      <c r="C35" s="75" t="s">
        <v>92</v>
      </c>
      <c r="D35" s="73">
        <v>1</v>
      </c>
      <c r="E35" s="43"/>
      <c r="F35" s="42">
        <v>10</v>
      </c>
      <c r="G35" s="42">
        <v>20</v>
      </c>
    </row>
    <row r="36" spans="1:7" ht="20.100000000000001" customHeight="1" x14ac:dyDescent="0.25">
      <c r="A36" s="74"/>
      <c r="B36" s="74"/>
      <c r="C36" s="75"/>
      <c r="D36" s="76">
        <v>12</v>
      </c>
      <c r="E36" s="43"/>
      <c r="F36" s="42">
        <v>10</v>
      </c>
      <c r="G36" s="42">
        <v>20</v>
      </c>
    </row>
    <row r="37" spans="1:7" ht="20.100000000000001" customHeight="1" x14ac:dyDescent="0.2">
      <c r="A37" s="71" t="s">
        <v>93</v>
      </c>
      <c r="B37" s="71">
        <v>200718510</v>
      </c>
      <c r="C37" s="72" t="s">
        <v>94</v>
      </c>
      <c r="D37" s="73">
        <v>1</v>
      </c>
      <c r="E37" s="43"/>
      <c r="F37" s="42">
        <v>10</v>
      </c>
      <c r="G37" s="42">
        <v>20</v>
      </c>
    </row>
    <row r="38" spans="1:7" ht="20.100000000000001" customHeight="1" x14ac:dyDescent="0.2">
      <c r="A38" s="74" t="s">
        <v>95</v>
      </c>
      <c r="B38" s="74">
        <v>1710071858</v>
      </c>
      <c r="C38" s="75" t="s">
        <v>96</v>
      </c>
      <c r="D38" s="73">
        <v>1</v>
      </c>
      <c r="E38" s="43"/>
      <c r="F38" s="42">
        <v>10</v>
      </c>
      <c r="G38" s="42">
        <v>10</v>
      </c>
    </row>
    <row r="39" spans="1:7" ht="20.100000000000001" customHeight="1" x14ac:dyDescent="0.2">
      <c r="A39" s="71" t="s">
        <v>97</v>
      </c>
      <c r="B39" s="71">
        <v>2103443</v>
      </c>
      <c r="C39" s="72" t="s">
        <v>98</v>
      </c>
      <c r="D39" s="73">
        <v>1</v>
      </c>
      <c r="E39" s="43"/>
      <c r="F39" s="42">
        <v>10</v>
      </c>
      <c r="G39" s="42">
        <v>10</v>
      </c>
    </row>
    <row r="40" spans="1:7" ht="20.100000000000001" customHeight="1" x14ac:dyDescent="0.2">
      <c r="A40" s="74" t="s">
        <v>99</v>
      </c>
      <c r="B40" s="74">
        <v>2103521</v>
      </c>
      <c r="C40" s="75" t="s">
        <v>100</v>
      </c>
      <c r="D40" s="73">
        <v>1</v>
      </c>
      <c r="E40" s="43"/>
      <c r="F40" s="42">
        <v>10</v>
      </c>
      <c r="G40" s="42">
        <v>100</v>
      </c>
    </row>
    <row r="41" spans="1:7" ht="20.100000000000001" customHeight="1" x14ac:dyDescent="0.2">
      <c r="A41" s="71" t="s">
        <v>101</v>
      </c>
      <c r="B41" s="71">
        <v>1411071854</v>
      </c>
      <c r="C41" s="72" t="s">
        <v>102</v>
      </c>
      <c r="D41" s="73">
        <v>1</v>
      </c>
      <c r="E41" s="43"/>
      <c r="F41" s="42">
        <v>10</v>
      </c>
      <c r="G41" s="42">
        <v>20</v>
      </c>
    </row>
    <row r="42" spans="1:7" ht="20.100000000000001" customHeight="1" x14ac:dyDescent="0.2">
      <c r="A42" s="74" t="s">
        <v>103</v>
      </c>
      <c r="B42" s="74" t="s">
        <v>104</v>
      </c>
      <c r="C42" s="75" t="s">
        <v>105</v>
      </c>
      <c r="D42" s="73">
        <v>1</v>
      </c>
      <c r="E42" s="44"/>
      <c r="F42" s="42">
        <v>10</v>
      </c>
      <c r="G42" s="42">
        <v>10</v>
      </c>
    </row>
    <row r="43" spans="1:7" ht="20.100000000000001" customHeight="1" x14ac:dyDescent="0.2">
      <c r="A43" s="71" t="s">
        <v>106</v>
      </c>
      <c r="B43" s="71">
        <v>200718508</v>
      </c>
      <c r="C43" s="72" t="s">
        <v>107</v>
      </c>
      <c r="D43" s="73">
        <v>1</v>
      </c>
      <c r="E43" s="45"/>
      <c r="F43" s="42">
        <v>10</v>
      </c>
      <c r="G43" s="42">
        <v>20</v>
      </c>
    </row>
    <row r="44" spans="1:7" ht="20.100000000000001" customHeight="1" x14ac:dyDescent="0.2">
      <c r="A44" s="74" t="s">
        <v>108</v>
      </c>
      <c r="B44" s="74">
        <v>200718511</v>
      </c>
      <c r="C44" s="75" t="s">
        <v>109</v>
      </c>
      <c r="D44" s="73">
        <v>1</v>
      </c>
      <c r="E44" s="45"/>
      <c r="F44" s="42">
        <v>10</v>
      </c>
      <c r="G44" s="42">
        <v>20</v>
      </c>
    </row>
    <row r="45" spans="1:7" ht="20.100000000000001" customHeight="1" x14ac:dyDescent="0.25">
      <c r="A45" s="74"/>
      <c r="B45" s="74"/>
      <c r="C45" s="75"/>
      <c r="D45" s="76">
        <v>8</v>
      </c>
      <c r="E45" s="45"/>
      <c r="F45" s="42">
        <v>10</v>
      </c>
      <c r="G45" s="42">
        <v>10</v>
      </c>
    </row>
    <row r="46" spans="1:7" ht="20.100000000000001" customHeight="1" x14ac:dyDescent="0.2">
      <c r="A46" s="71" t="s">
        <v>110</v>
      </c>
      <c r="B46" s="71">
        <v>200718611</v>
      </c>
      <c r="C46" s="72" t="s">
        <v>111</v>
      </c>
      <c r="D46" s="73">
        <v>1</v>
      </c>
      <c r="E46" s="45"/>
      <c r="F46" s="42">
        <v>10</v>
      </c>
      <c r="G46" s="42">
        <v>10</v>
      </c>
    </row>
    <row r="47" spans="1:7" ht="20.100000000000001" customHeight="1" x14ac:dyDescent="0.2">
      <c r="A47" s="74" t="s">
        <v>112</v>
      </c>
      <c r="B47" s="74">
        <v>180718601</v>
      </c>
      <c r="C47" s="75" t="s">
        <v>113</v>
      </c>
      <c r="D47" s="73">
        <v>1</v>
      </c>
      <c r="E47" s="45"/>
      <c r="F47" s="42">
        <v>10</v>
      </c>
      <c r="G47" s="42">
        <v>90</v>
      </c>
    </row>
    <row r="48" spans="1:7" ht="20.100000000000001" customHeight="1" x14ac:dyDescent="0.2">
      <c r="A48" s="71" t="s">
        <v>114</v>
      </c>
      <c r="B48" s="71">
        <v>180718601</v>
      </c>
      <c r="C48" s="72" t="s">
        <v>115</v>
      </c>
      <c r="D48" s="73">
        <v>1</v>
      </c>
      <c r="E48" s="45"/>
      <c r="F48" s="42"/>
      <c r="G48" s="42"/>
    </row>
    <row r="49" spans="1:7" ht="20.100000000000001" customHeight="1" x14ac:dyDescent="0.2">
      <c r="A49" s="74" t="s">
        <v>116</v>
      </c>
      <c r="B49" s="74">
        <v>190718601</v>
      </c>
      <c r="C49" s="75" t="s">
        <v>117</v>
      </c>
      <c r="D49" s="73">
        <v>1</v>
      </c>
      <c r="E49" s="45"/>
      <c r="F49" s="42">
        <v>10</v>
      </c>
      <c r="G49" s="42">
        <v>10</v>
      </c>
    </row>
    <row r="50" spans="1:7" ht="20.100000000000001" customHeight="1" x14ac:dyDescent="0.2">
      <c r="A50" s="71" t="s">
        <v>118</v>
      </c>
      <c r="B50" s="71">
        <v>190718604</v>
      </c>
      <c r="C50" s="72" t="s">
        <v>119</v>
      </c>
      <c r="D50" s="73">
        <v>1</v>
      </c>
      <c r="E50" s="45"/>
      <c r="F50" s="42">
        <v>10</v>
      </c>
      <c r="G50" s="42">
        <v>10</v>
      </c>
    </row>
    <row r="51" spans="1:7" ht="20.100000000000001" customHeight="1" x14ac:dyDescent="0.2">
      <c r="A51" s="74" t="s">
        <v>120</v>
      </c>
      <c r="B51" s="74">
        <v>190718605</v>
      </c>
      <c r="C51" s="75" t="s">
        <v>121</v>
      </c>
      <c r="D51" s="73">
        <v>1</v>
      </c>
      <c r="E51" s="45"/>
      <c r="F51" s="42">
        <v>10</v>
      </c>
      <c r="G51" s="42">
        <v>10</v>
      </c>
    </row>
    <row r="52" spans="1:7" ht="20.100000000000001" customHeight="1" x14ac:dyDescent="0.2">
      <c r="A52" s="71" t="s">
        <v>122</v>
      </c>
      <c r="B52" s="71">
        <v>200718606</v>
      </c>
      <c r="C52" s="72" t="s">
        <v>123</v>
      </c>
      <c r="D52" s="73">
        <v>1</v>
      </c>
      <c r="E52" s="46"/>
      <c r="F52" s="42">
        <v>10</v>
      </c>
      <c r="G52" s="42">
        <v>0</v>
      </c>
    </row>
    <row r="53" spans="1:7" ht="20.100000000000001" customHeight="1" x14ac:dyDescent="0.2">
      <c r="A53" s="74" t="s">
        <v>124</v>
      </c>
      <c r="B53" s="74">
        <v>200718609</v>
      </c>
      <c r="C53" s="75" t="s">
        <v>125</v>
      </c>
      <c r="D53" s="73">
        <v>1</v>
      </c>
      <c r="E53" s="46"/>
      <c r="F53" s="42">
        <v>10</v>
      </c>
      <c r="G53" s="42">
        <v>10</v>
      </c>
    </row>
    <row r="54" spans="1:7" ht="20.100000000000001" customHeight="1" x14ac:dyDescent="0.25">
      <c r="A54" s="77"/>
      <c r="B54" s="74"/>
      <c r="C54" s="75"/>
      <c r="D54" s="76">
        <v>8</v>
      </c>
      <c r="E54" s="46"/>
      <c r="F54" s="42">
        <v>10</v>
      </c>
      <c r="G54" s="42">
        <v>10</v>
      </c>
    </row>
    <row r="55" spans="1:7" ht="20.100000000000001" customHeight="1" x14ac:dyDescent="0.2">
      <c r="A55" s="71" t="s">
        <v>126</v>
      </c>
      <c r="B55" s="71">
        <v>200718705</v>
      </c>
      <c r="C55" s="72" t="s">
        <v>127</v>
      </c>
      <c r="D55" s="73">
        <v>1</v>
      </c>
      <c r="E55" s="46"/>
      <c r="F55" s="42">
        <v>10</v>
      </c>
      <c r="G55" s="42">
        <v>10</v>
      </c>
    </row>
    <row r="56" spans="1:7" ht="20.100000000000001" customHeight="1" x14ac:dyDescent="0.2">
      <c r="A56" s="74" t="s">
        <v>128</v>
      </c>
      <c r="B56" s="74">
        <v>200718705</v>
      </c>
      <c r="C56" s="75" t="s">
        <v>129</v>
      </c>
      <c r="D56" s="73">
        <v>1</v>
      </c>
      <c r="E56" s="46"/>
      <c r="F56" s="42">
        <v>10</v>
      </c>
      <c r="G56" s="42">
        <v>70</v>
      </c>
    </row>
    <row r="57" spans="1:7" ht="20.100000000000001" customHeight="1" x14ac:dyDescent="0.2">
      <c r="A57" s="71" t="s">
        <v>130</v>
      </c>
      <c r="B57" s="71">
        <v>200718707</v>
      </c>
      <c r="C57" s="72" t="s">
        <v>131</v>
      </c>
      <c r="D57" s="73">
        <v>1</v>
      </c>
      <c r="E57" s="46"/>
      <c r="F57" s="42">
        <v>10</v>
      </c>
      <c r="G57" s="42">
        <v>10</v>
      </c>
    </row>
    <row r="58" spans="1:7" ht="20.100000000000001" customHeight="1" x14ac:dyDescent="0.2">
      <c r="A58" s="74" t="s">
        <v>132</v>
      </c>
      <c r="B58" s="74">
        <v>190718703</v>
      </c>
      <c r="C58" s="75" t="s">
        <v>133</v>
      </c>
      <c r="D58" s="73">
        <v>1</v>
      </c>
      <c r="E58" s="46"/>
      <c r="F58" s="42">
        <v>10</v>
      </c>
      <c r="G58" s="42">
        <v>10</v>
      </c>
    </row>
    <row r="59" spans="1:7" ht="20.100000000000001" customHeight="1" x14ac:dyDescent="0.2">
      <c r="A59" s="78" t="s">
        <v>134</v>
      </c>
      <c r="B59" s="71">
        <v>190718704</v>
      </c>
      <c r="C59" s="72" t="s">
        <v>135</v>
      </c>
      <c r="D59" s="73">
        <v>1</v>
      </c>
      <c r="E59" s="46"/>
      <c r="F59" s="42">
        <v>10</v>
      </c>
      <c r="G59" s="42">
        <v>10</v>
      </c>
    </row>
    <row r="60" spans="1:7" ht="20.100000000000001" customHeight="1" x14ac:dyDescent="0.2">
      <c r="A60" s="79" t="s">
        <v>136</v>
      </c>
      <c r="B60" s="74">
        <v>1703071871</v>
      </c>
      <c r="C60" s="75" t="s">
        <v>137</v>
      </c>
      <c r="D60" s="73">
        <v>1</v>
      </c>
      <c r="E60" s="46"/>
      <c r="F60" s="42">
        <v>10</v>
      </c>
      <c r="G60" s="42">
        <v>10</v>
      </c>
    </row>
    <row r="61" spans="1:7" ht="20.100000000000001" customHeight="1" x14ac:dyDescent="0.2">
      <c r="A61" s="78" t="s">
        <v>138</v>
      </c>
      <c r="B61" s="71">
        <v>200718709</v>
      </c>
      <c r="C61" s="72" t="s">
        <v>139</v>
      </c>
      <c r="D61" s="73">
        <v>1</v>
      </c>
      <c r="E61" s="46"/>
      <c r="F61" s="42">
        <v>10</v>
      </c>
      <c r="G61" s="42">
        <v>10</v>
      </c>
    </row>
    <row r="62" spans="1:7" ht="20.100000000000001" customHeight="1" x14ac:dyDescent="0.2">
      <c r="A62" s="79" t="s">
        <v>140</v>
      </c>
      <c r="B62" s="74">
        <v>200718706</v>
      </c>
      <c r="C62" s="75" t="s">
        <v>141</v>
      </c>
      <c r="D62" s="73">
        <v>1</v>
      </c>
      <c r="E62" s="46"/>
      <c r="F62" s="42">
        <v>10</v>
      </c>
      <c r="G62" s="42">
        <v>10</v>
      </c>
    </row>
    <row r="63" spans="1:7" ht="20.100000000000001" customHeight="1" x14ac:dyDescent="0.25">
      <c r="A63" s="74"/>
      <c r="B63" s="74"/>
      <c r="C63" s="75"/>
      <c r="D63" s="76">
        <v>8</v>
      </c>
      <c r="E63" s="46"/>
      <c r="F63" s="42">
        <v>10</v>
      </c>
      <c r="G63" s="42">
        <v>60</v>
      </c>
    </row>
    <row r="64" spans="1:7" ht="20.100000000000001" customHeight="1" x14ac:dyDescent="0.2">
      <c r="A64" s="71" t="s">
        <v>142</v>
      </c>
      <c r="B64" s="71">
        <v>200718802</v>
      </c>
      <c r="C64" s="72" t="s">
        <v>143</v>
      </c>
      <c r="D64" s="73">
        <v>1</v>
      </c>
      <c r="E64" s="46"/>
      <c r="F64" s="42">
        <v>10</v>
      </c>
      <c r="G64" s="42">
        <v>10</v>
      </c>
    </row>
    <row r="65" spans="1:7" ht="20.100000000000001" customHeight="1" x14ac:dyDescent="0.2">
      <c r="A65" s="74" t="s">
        <v>144</v>
      </c>
      <c r="B65" s="74">
        <v>200718804</v>
      </c>
      <c r="C65" s="75" t="s">
        <v>145</v>
      </c>
      <c r="D65" s="73">
        <v>1</v>
      </c>
      <c r="E65" s="46"/>
      <c r="F65" s="42">
        <v>10</v>
      </c>
      <c r="G65" s="42">
        <v>10</v>
      </c>
    </row>
    <row r="66" spans="1:7" ht="20.100000000000001" customHeight="1" x14ac:dyDescent="0.2">
      <c r="A66" s="71" t="s">
        <v>146</v>
      </c>
      <c r="B66" s="71">
        <v>200718803</v>
      </c>
      <c r="C66" s="72" t="s">
        <v>147</v>
      </c>
      <c r="D66" s="73">
        <v>1</v>
      </c>
      <c r="E66" s="46"/>
      <c r="F66" s="42">
        <v>10</v>
      </c>
      <c r="G66" s="42">
        <v>10</v>
      </c>
    </row>
    <row r="67" spans="1:7" ht="20.100000000000001" customHeight="1" x14ac:dyDescent="0.2">
      <c r="A67" s="74" t="s">
        <v>148</v>
      </c>
      <c r="B67" s="74">
        <v>200718805</v>
      </c>
      <c r="C67" s="75" t="s">
        <v>149</v>
      </c>
      <c r="D67" s="73">
        <v>1</v>
      </c>
      <c r="E67" s="46"/>
      <c r="F67" s="42">
        <v>10</v>
      </c>
      <c r="G67" s="42">
        <v>10</v>
      </c>
    </row>
    <row r="68" spans="1:7" ht="20.100000000000001" customHeight="1" x14ac:dyDescent="0.2">
      <c r="A68" s="71" t="s">
        <v>150</v>
      </c>
      <c r="B68" s="71">
        <v>200718804</v>
      </c>
      <c r="C68" s="72" t="s">
        <v>151</v>
      </c>
      <c r="D68" s="73">
        <v>1</v>
      </c>
      <c r="E68" s="46"/>
      <c r="F68" s="42">
        <v>10</v>
      </c>
      <c r="G68" s="42">
        <v>40</v>
      </c>
    </row>
    <row r="69" spans="1:7" ht="20.100000000000001" customHeight="1" x14ac:dyDescent="0.2">
      <c r="A69" s="74" t="s">
        <v>152</v>
      </c>
      <c r="B69" s="74">
        <v>200718812</v>
      </c>
      <c r="C69" s="75" t="s">
        <v>153</v>
      </c>
      <c r="D69" s="73">
        <v>1</v>
      </c>
      <c r="E69" s="46"/>
      <c r="F69" s="42">
        <v>10</v>
      </c>
      <c r="G69" s="42">
        <v>0</v>
      </c>
    </row>
    <row r="70" spans="1:7" ht="20.100000000000001" customHeight="1" x14ac:dyDescent="0.2">
      <c r="A70" s="71" t="s">
        <v>154</v>
      </c>
      <c r="B70" s="71">
        <v>200718809</v>
      </c>
      <c r="C70" s="72" t="s">
        <v>155</v>
      </c>
      <c r="D70" s="73">
        <v>1</v>
      </c>
      <c r="E70" s="46"/>
      <c r="F70" s="42">
        <v>10</v>
      </c>
      <c r="G70" s="42">
        <v>10</v>
      </c>
    </row>
    <row r="71" spans="1:7" ht="20.100000000000001" customHeight="1" x14ac:dyDescent="0.2">
      <c r="A71" s="74" t="s">
        <v>156</v>
      </c>
      <c r="B71" s="74">
        <v>200718811</v>
      </c>
      <c r="C71" s="75" t="s">
        <v>157</v>
      </c>
      <c r="D71" s="73">
        <v>1</v>
      </c>
      <c r="E71" s="46"/>
      <c r="F71" s="42">
        <v>10</v>
      </c>
      <c r="G71" s="42">
        <v>10</v>
      </c>
    </row>
    <row r="72" spans="1:7" ht="20.100000000000001" customHeight="1" x14ac:dyDescent="0.25">
      <c r="A72" s="80"/>
      <c r="B72" s="80"/>
      <c r="C72" s="81"/>
      <c r="D72" s="76">
        <v>8</v>
      </c>
      <c r="E72" s="46"/>
      <c r="F72" s="42">
        <v>10</v>
      </c>
      <c r="G72" s="42">
        <v>0</v>
      </c>
    </row>
    <row r="73" spans="1:7" ht="20.100000000000001" customHeight="1" x14ac:dyDescent="0.2">
      <c r="A73" s="71" t="s">
        <v>158</v>
      </c>
      <c r="B73" s="71" t="s">
        <v>159</v>
      </c>
      <c r="C73" s="82" t="s">
        <v>160</v>
      </c>
      <c r="D73" s="73">
        <v>1</v>
      </c>
      <c r="E73" s="46"/>
      <c r="F73" s="42">
        <v>10</v>
      </c>
      <c r="G73" s="42">
        <v>10</v>
      </c>
    </row>
    <row r="74" spans="1:7" ht="20.100000000000001" customHeight="1" x14ac:dyDescent="0.2">
      <c r="A74" s="74" t="s">
        <v>161</v>
      </c>
      <c r="B74" s="74" t="s">
        <v>162</v>
      </c>
      <c r="C74" s="83" t="s">
        <v>163</v>
      </c>
      <c r="D74" s="73">
        <v>1</v>
      </c>
      <c r="E74" s="46"/>
      <c r="F74" s="42"/>
      <c r="G74" s="42"/>
    </row>
    <row r="75" spans="1:7" ht="20.100000000000001" customHeight="1" x14ac:dyDescent="0.2">
      <c r="A75" s="71" t="s">
        <v>164</v>
      </c>
      <c r="B75" s="71" t="s">
        <v>165</v>
      </c>
      <c r="C75" s="82" t="s">
        <v>166</v>
      </c>
      <c r="D75" s="73">
        <v>1</v>
      </c>
      <c r="E75" s="46"/>
      <c r="F75" s="42">
        <v>10</v>
      </c>
      <c r="G75" s="42">
        <v>40</v>
      </c>
    </row>
    <row r="76" spans="1:7" ht="20.100000000000001" customHeight="1" x14ac:dyDescent="0.2">
      <c r="A76" s="74" t="s">
        <v>167</v>
      </c>
      <c r="B76" s="74" t="s">
        <v>168</v>
      </c>
      <c r="C76" s="83" t="s">
        <v>169</v>
      </c>
      <c r="D76" s="73">
        <v>1</v>
      </c>
      <c r="E76" s="46"/>
      <c r="F76" s="42">
        <v>10</v>
      </c>
      <c r="G76" s="42">
        <v>20</v>
      </c>
    </row>
    <row r="77" spans="1:7" ht="20.100000000000001" customHeight="1" x14ac:dyDescent="0.2">
      <c r="A77" s="71" t="s">
        <v>170</v>
      </c>
      <c r="B77" s="71" t="s">
        <v>171</v>
      </c>
      <c r="C77" s="82" t="s">
        <v>172</v>
      </c>
      <c r="D77" s="73">
        <v>1</v>
      </c>
      <c r="E77" s="47"/>
      <c r="F77" s="60">
        <v>10</v>
      </c>
      <c r="G77" s="42">
        <v>20</v>
      </c>
    </row>
    <row r="78" spans="1:7" ht="20.100000000000001" customHeight="1" x14ac:dyDescent="0.2">
      <c r="A78" s="74" t="s">
        <v>173</v>
      </c>
      <c r="B78" s="74" t="s">
        <v>174</v>
      </c>
      <c r="C78" s="83" t="s">
        <v>175</v>
      </c>
      <c r="D78" s="73">
        <v>0</v>
      </c>
      <c r="E78" s="47"/>
      <c r="F78" s="60">
        <v>10</v>
      </c>
      <c r="G78" s="42">
        <v>20</v>
      </c>
    </row>
    <row r="79" spans="1:7" ht="20.100000000000001" customHeight="1" x14ac:dyDescent="0.2">
      <c r="A79" s="71" t="s">
        <v>176</v>
      </c>
      <c r="B79" s="71" t="s">
        <v>177</v>
      </c>
      <c r="C79" s="82" t="s">
        <v>178</v>
      </c>
      <c r="D79" s="73">
        <v>1</v>
      </c>
      <c r="E79" s="47"/>
      <c r="F79" s="60">
        <v>10</v>
      </c>
      <c r="G79" s="42">
        <v>20</v>
      </c>
    </row>
    <row r="80" spans="1:7" ht="20.100000000000001" customHeight="1" x14ac:dyDescent="0.2">
      <c r="A80" s="74" t="s">
        <v>179</v>
      </c>
      <c r="B80" s="74" t="s">
        <v>177</v>
      </c>
      <c r="C80" s="83" t="s">
        <v>180</v>
      </c>
      <c r="D80" s="73">
        <v>1</v>
      </c>
      <c r="E80" s="47"/>
      <c r="F80" s="60">
        <v>10</v>
      </c>
      <c r="G80" s="42">
        <v>20</v>
      </c>
    </row>
    <row r="81" spans="1:7" ht="20.100000000000001" customHeight="1" x14ac:dyDescent="0.2">
      <c r="A81" s="71" t="s">
        <v>181</v>
      </c>
      <c r="B81" s="71" t="s">
        <v>182</v>
      </c>
      <c r="C81" s="82" t="s">
        <v>183</v>
      </c>
      <c r="D81" s="73">
        <v>1</v>
      </c>
      <c r="E81" s="47"/>
      <c r="F81" s="60">
        <v>10</v>
      </c>
      <c r="G81" s="42">
        <v>20</v>
      </c>
    </row>
    <row r="82" spans="1:7" ht="20.100000000000001" customHeight="1" x14ac:dyDescent="0.2">
      <c r="A82" s="74" t="s">
        <v>184</v>
      </c>
      <c r="B82" s="74" t="s">
        <v>185</v>
      </c>
      <c r="C82" s="83" t="s">
        <v>186</v>
      </c>
      <c r="D82" s="73">
        <v>1</v>
      </c>
      <c r="E82" s="47"/>
      <c r="F82" s="60">
        <v>10</v>
      </c>
      <c r="G82" s="42">
        <v>20</v>
      </c>
    </row>
    <row r="83" spans="1:7" ht="20.100000000000001" customHeight="1" x14ac:dyDescent="0.25">
      <c r="A83" s="80"/>
      <c r="B83" s="80"/>
      <c r="C83" s="81"/>
      <c r="D83" s="76">
        <v>9</v>
      </c>
      <c r="E83" s="47"/>
      <c r="F83" s="60">
        <v>10</v>
      </c>
      <c r="G83" s="42">
        <v>20</v>
      </c>
    </row>
    <row r="84" spans="1:7" ht="20.100000000000001" customHeight="1" x14ac:dyDescent="0.2">
      <c r="A84" s="74" t="s">
        <v>187</v>
      </c>
      <c r="B84" s="74" t="s">
        <v>188</v>
      </c>
      <c r="C84" s="83" t="s">
        <v>189</v>
      </c>
      <c r="D84" s="73">
        <v>2</v>
      </c>
      <c r="E84" s="47"/>
      <c r="F84" s="60"/>
      <c r="G84" s="42"/>
    </row>
    <row r="85" spans="1:7" ht="20.100000000000001" customHeight="1" x14ac:dyDescent="0.2">
      <c r="A85" s="71" t="s">
        <v>190</v>
      </c>
      <c r="B85" s="71" t="s">
        <v>191</v>
      </c>
      <c r="C85" s="82" t="s">
        <v>192</v>
      </c>
      <c r="D85" s="73">
        <v>2</v>
      </c>
      <c r="E85" s="47"/>
      <c r="F85" s="60">
        <v>10</v>
      </c>
      <c r="G85" s="42">
        <v>20</v>
      </c>
    </row>
    <row r="86" spans="1:7" ht="20.100000000000001" customHeight="1" x14ac:dyDescent="0.2">
      <c r="A86" s="74" t="s">
        <v>193</v>
      </c>
      <c r="B86" s="74" t="s">
        <v>194</v>
      </c>
      <c r="C86" s="83" t="s">
        <v>195</v>
      </c>
      <c r="D86" s="73">
        <v>1</v>
      </c>
      <c r="E86" s="47"/>
      <c r="F86" s="60"/>
      <c r="G86" s="42"/>
    </row>
    <row r="87" spans="1:7" ht="20.100000000000001" customHeight="1" x14ac:dyDescent="0.2">
      <c r="A87" s="74" t="s">
        <v>193</v>
      </c>
      <c r="B87" s="74" t="s">
        <v>191</v>
      </c>
      <c r="C87" s="83" t="s">
        <v>195</v>
      </c>
      <c r="D87" s="73">
        <v>1</v>
      </c>
      <c r="E87" s="47"/>
      <c r="F87" s="60"/>
      <c r="G87" s="42"/>
    </row>
    <row r="88" spans="1:7" ht="20.100000000000001" customHeight="1" x14ac:dyDescent="0.2">
      <c r="A88" s="71" t="s">
        <v>196</v>
      </c>
      <c r="B88" s="71" t="s">
        <v>197</v>
      </c>
      <c r="C88" s="82" t="s">
        <v>198</v>
      </c>
      <c r="D88" s="73">
        <v>2</v>
      </c>
      <c r="E88" s="47"/>
      <c r="F88" s="60"/>
      <c r="G88" s="42"/>
    </row>
    <row r="89" spans="1:7" ht="20.100000000000001" customHeight="1" x14ac:dyDescent="0.2">
      <c r="A89" s="74" t="s">
        <v>199</v>
      </c>
      <c r="B89" s="74" t="s">
        <v>200</v>
      </c>
      <c r="C89" s="83" t="s">
        <v>201</v>
      </c>
      <c r="D89" s="73">
        <v>2</v>
      </c>
      <c r="E89" s="47"/>
      <c r="F89" s="60"/>
      <c r="G89" s="42"/>
    </row>
    <row r="90" spans="1:7" ht="20.100000000000001" customHeight="1" x14ac:dyDescent="0.2">
      <c r="A90" s="71" t="s">
        <v>202</v>
      </c>
      <c r="B90" s="71" t="s">
        <v>203</v>
      </c>
      <c r="C90" s="82" t="s">
        <v>189</v>
      </c>
      <c r="D90" s="73">
        <v>2</v>
      </c>
      <c r="E90" s="47"/>
      <c r="F90" s="60"/>
      <c r="G90" s="42"/>
    </row>
    <row r="91" spans="1:7" ht="20.100000000000001" customHeight="1" x14ac:dyDescent="0.2">
      <c r="A91" s="74" t="s">
        <v>204</v>
      </c>
      <c r="B91" s="74" t="s">
        <v>203</v>
      </c>
      <c r="C91" s="83" t="s">
        <v>205</v>
      </c>
      <c r="D91" s="73">
        <v>2</v>
      </c>
      <c r="E91" s="47"/>
      <c r="F91" s="60"/>
      <c r="G91" s="42"/>
    </row>
    <row r="92" spans="1:7" ht="20.100000000000001" customHeight="1" x14ac:dyDescent="0.2">
      <c r="A92" s="71" t="s">
        <v>206</v>
      </c>
      <c r="B92" s="71" t="s">
        <v>207</v>
      </c>
      <c r="C92" s="82" t="s">
        <v>189</v>
      </c>
      <c r="D92" s="73">
        <v>2</v>
      </c>
      <c r="E92" s="47"/>
      <c r="F92" s="60"/>
      <c r="G92" s="42"/>
    </row>
    <row r="93" spans="1:7" ht="20.100000000000001" customHeight="1" x14ac:dyDescent="0.2">
      <c r="A93" s="74" t="s">
        <v>208</v>
      </c>
      <c r="B93" s="74" t="s">
        <v>209</v>
      </c>
      <c r="C93" s="83" t="s">
        <v>210</v>
      </c>
      <c r="D93" s="73">
        <v>2</v>
      </c>
      <c r="E93" s="47"/>
      <c r="F93" s="60"/>
      <c r="G93" s="42"/>
    </row>
    <row r="94" spans="1:7" ht="20.100000000000001" customHeight="1" x14ac:dyDescent="0.2">
      <c r="A94" s="71" t="s">
        <v>211</v>
      </c>
      <c r="B94" s="71" t="s">
        <v>212</v>
      </c>
      <c r="C94" s="82" t="s">
        <v>213</v>
      </c>
      <c r="D94" s="73">
        <v>2</v>
      </c>
      <c r="E94" s="47"/>
      <c r="F94" s="60"/>
      <c r="G94" s="42"/>
    </row>
    <row r="95" spans="1:7" ht="20.100000000000001" customHeight="1" x14ac:dyDescent="0.2">
      <c r="A95" s="74" t="s">
        <v>214</v>
      </c>
      <c r="B95" s="74" t="s">
        <v>212</v>
      </c>
      <c r="C95" s="83" t="s">
        <v>215</v>
      </c>
      <c r="D95" s="73">
        <v>2</v>
      </c>
      <c r="E95" s="47"/>
      <c r="F95" s="60"/>
      <c r="G95" s="42"/>
    </row>
    <row r="96" spans="1:7" ht="20.100000000000001" customHeight="1" x14ac:dyDescent="0.2">
      <c r="A96" s="71" t="s">
        <v>216</v>
      </c>
      <c r="B96" s="71" t="s">
        <v>217</v>
      </c>
      <c r="C96" s="82" t="s">
        <v>218</v>
      </c>
      <c r="D96" s="73">
        <v>2</v>
      </c>
      <c r="E96" s="47"/>
      <c r="F96" s="60"/>
      <c r="G96" s="42"/>
    </row>
    <row r="97" spans="1:7" ht="20.100000000000001" customHeight="1" x14ac:dyDescent="0.2">
      <c r="A97" s="74" t="s">
        <v>219</v>
      </c>
      <c r="B97" s="74" t="s">
        <v>212</v>
      </c>
      <c r="C97" s="83" t="s">
        <v>220</v>
      </c>
      <c r="D97" s="73">
        <v>2</v>
      </c>
      <c r="E97" s="47"/>
      <c r="F97" s="60"/>
      <c r="G97" s="42"/>
    </row>
    <row r="98" spans="1:7" ht="20.100000000000001" customHeight="1" x14ac:dyDescent="0.25">
      <c r="A98" s="83"/>
      <c r="B98" s="83"/>
      <c r="C98" s="83"/>
      <c r="D98" s="76">
        <v>26</v>
      </c>
      <c r="E98" s="47"/>
      <c r="F98" s="60"/>
      <c r="G98" s="42"/>
    </row>
    <row r="99" spans="1:7" ht="20.100000000000001" customHeight="1" x14ac:dyDescent="0.2">
      <c r="A99" s="71" t="s">
        <v>290</v>
      </c>
      <c r="B99" s="71" t="s">
        <v>291</v>
      </c>
      <c r="C99" s="92" t="s">
        <v>292</v>
      </c>
      <c r="D99" s="91">
        <v>1</v>
      </c>
      <c r="E99" s="47"/>
      <c r="F99" s="60"/>
      <c r="G99" s="42"/>
    </row>
    <row r="100" spans="1:7" ht="20.100000000000001" customHeight="1" x14ac:dyDescent="0.2">
      <c r="A100" s="71" t="s">
        <v>293</v>
      </c>
      <c r="B100" s="71" t="s">
        <v>291</v>
      </c>
      <c r="C100" s="92" t="s">
        <v>294</v>
      </c>
      <c r="D100" s="93">
        <v>0</v>
      </c>
      <c r="E100" s="47"/>
      <c r="F100" s="60"/>
      <c r="G100" s="42"/>
    </row>
    <row r="101" spans="1:7" ht="20.100000000000001" customHeight="1" x14ac:dyDescent="0.2">
      <c r="A101" s="74" t="s">
        <v>295</v>
      </c>
      <c r="B101" s="74" t="s">
        <v>296</v>
      </c>
      <c r="C101" s="94" t="s">
        <v>297</v>
      </c>
      <c r="D101" s="95">
        <v>1</v>
      </c>
      <c r="E101" s="47"/>
      <c r="F101" s="42"/>
      <c r="G101" s="42"/>
    </row>
    <row r="102" spans="1:7" ht="20.100000000000001" customHeight="1" x14ac:dyDescent="0.2">
      <c r="A102" s="71" t="s">
        <v>298</v>
      </c>
      <c r="B102" s="71" t="s">
        <v>299</v>
      </c>
      <c r="C102" s="92" t="s">
        <v>300</v>
      </c>
      <c r="D102" s="95">
        <v>1</v>
      </c>
      <c r="E102" s="47"/>
      <c r="F102" s="60"/>
      <c r="G102" s="42"/>
    </row>
    <row r="103" spans="1:7" ht="20.100000000000001" customHeight="1" x14ac:dyDescent="0.2">
      <c r="A103" s="74" t="s">
        <v>301</v>
      </c>
      <c r="B103" s="74" t="s">
        <v>302</v>
      </c>
      <c r="C103" s="94" t="s">
        <v>303</v>
      </c>
      <c r="D103" s="95">
        <v>1</v>
      </c>
      <c r="E103" s="47"/>
      <c r="F103" s="60"/>
      <c r="G103" s="42"/>
    </row>
    <row r="104" spans="1:7" ht="20.100000000000001" customHeight="1" x14ac:dyDescent="0.2">
      <c r="A104" s="71" t="s">
        <v>304</v>
      </c>
      <c r="B104" s="71" t="s">
        <v>305</v>
      </c>
      <c r="C104" s="92" t="s">
        <v>306</v>
      </c>
      <c r="D104" s="95">
        <v>0</v>
      </c>
      <c r="E104" s="47"/>
      <c r="F104" s="60"/>
      <c r="G104" s="42"/>
    </row>
    <row r="105" spans="1:7" ht="20.100000000000001" customHeight="1" x14ac:dyDescent="0.25">
      <c r="A105" s="48"/>
      <c r="B105" s="49"/>
      <c r="C105" s="50"/>
      <c r="D105" s="51"/>
      <c r="E105" s="50"/>
      <c r="F105" s="66" t="s">
        <v>34</v>
      </c>
      <c r="G105" s="64">
        <f>SUM(G24:G104)</f>
        <v>1160</v>
      </c>
    </row>
    <row r="106" spans="1:7" ht="20.100000000000001" customHeight="1" x14ac:dyDescent="0.25">
      <c r="A106" s="48"/>
      <c r="B106" s="49"/>
      <c r="C106" s="50"/>
      <c r="D106" s="51"/>
      <c r="E106" s="50"/>
      <c r="F106" s="65" t="s">
        <v>35</v>
      </c>
      <c r="G106" s="64">
        <f>G105*12/100</f>
        <v>139.19999999999999</v>
      </c>
    </row>
    <row r="107" spans="1:7" ht="20.100000000000001" customHeight="1" x14ac:dyDescent="0.25">
      <c r="A107" s="48"/>
      <c r="B107" s="49"/>
      <c r="C107" s="50"/>
      <c r="D107" s="51"/>
      <c r="E107" s="50"/>
      <c r="F107" s="65" t="s">
        <v>36</v>
      </c>
      <c r="G107" s="64">
        <f>SUM(G105:G106)</f>
        <v>1299.2</v>
      </c>
    </row>
    <row r="108" spans="1:7" ht="20.100000000000001" customHeight="1" x14ac:dyDescent="0.25">
      <c r="A108" s="48"/>
      <c r="B108" s="49"/>
      <c r="C108" s="50"/>
      <c r="D108" s="51"/>
      <c r="E108" s="50"/>
      <c r="F108" s="52"/>
      <c r="G108" s="61"/>
    </row>
    <row r="109" spans="1:7" ht="20.100000000000001" customHeight="1" x14ac:dyDescent="0.25">
      <c r="A109" s="48"/>
      <c r="B109" s="90"/>
      <c r="C109" s="84" t="s">
        <v>221</v>
      </c>
      <c r="D109" s="51"/>
      <c r="E109" s="50"/>
      <c r="F109" s="52"/>
      <c r="G109" s="61"/>
    </row>
    <row r="110" spans="1:7" ht="20.100000000000001" customHeight="1" x14ac:dyDescent="0.25">
      <c r="A110" s="48"/>
      <c r="B110" s="84" t="s">
        <v>29</v>
      </c>
      <c r="C110" s="84" t="s">
        <v>222</v>
      </c>
      <c r="D110" s="51"/>
      <c r="E110" s="50"/>
      <c r="F110" s="52"/>
      <c r="G110" s="61"/>
    </row>
    <row r="111" spans="1:7" ht="20.100000000000001" customHeight="1" x14ac:dyDescent="0.25">
      <c r="A111" s="48"/>
      <c r="B111" s="85"/>
      <c r="C111" s="84" t="s">
        <v>223</v>
      </c>
      <c r="D111" s="51"/>
      <c r="E111" s="50"/>
      <c r="F111" s="52"/>
      <c r="G111" s="61"/>
    </row>
    <row r="112" spans="1:7" ht="20.100000000000001" customHeight="1" x14ac:dyDescent="0.25">
      <c r="A112" s="48"/>
      <c r="B112" s="86">
        <v>2</v>
      </c>
      <c r="C112" s="87" t="s">
        <v>224</v>
      </c>
      <c r="D112" s="51"/>
      <c r="E112" s="50"/>
      <c r="F112" s="52"/>
      <c r="G112" s="61"/>
    </row>
    <row r="113" spans="1:7" ht="20.100000000000001" customHeight="1" x14ac:dyDescent="0.25">
      <c r="A113" s="48"/>
      <c r="B113" s="86">
        <v>1</v>
      </c>
      <c r="C113" s="87" t="s">
        <v>225</v>
      </c>
      <c r="D113" s="51"/>
      <c r="E113" s="50"/>
      <c r="F113" s="52"/>
      <c r="G113" s="61"/>
    </row>
    <row r="114" spans="1:7" ht="20.100000000000001" customHeight="1" x14ac:dyDescent="0.25">
      <c r="A114" s="48"/>
      <c r="B114" s="86">
        <v>1</v>
      </c>
      <c r="C114" s="87" t="s">
        <v>226</v>
      </c>
      <c r="D114" s="51"/>
      <c r="E114" s="50"/>
      <c r="F114" s="52"/>
      <c r="G114" s="61"/>
    </row>
    <row r="115" spans="1:7" ht="20.100000000000001" customHeight="1" x14ac:dyDescent="0.25">
      <c r="A115" s="48"/>
      <c r="B115" s="86">
        <v>1</v>
      </c>
      <c r="C115" s="87" t="s">
        <v>227</v>
      </c>
      <c r="D115" s="51"/>
      <c r="E115" s="50"/>
      <c r="F115" s="52"/>
      <c r="G115" s="61"/>
    </row>
    <row r="116" spans="1:7" ht="20.100000000000001" customHeight="1" x14ac:dyDescent="0.25">
      <c r="A116" s="48"/>
      <c r="B116" s="86">
        <v>2</v>
      </c>
      <c r="C116" s="87" t="s">
        <v>228</v>
      </c>
      <c r="D116" s="51"/>
      <c r="E116" s="50"/>
      <c r="F116" s="52"/>
      <c r="G116" s="61"/>
    </row>
    <row r="117" spans="1:7" ht="20.100000000000001" customHeight="1" x14ac:dyDescent="0.25">
      <c r="A117" s="48"/>
      <c r="B117" s="86">
        <v>1</v>
      </c>
      <c r="C117" s="87" t="s">
        <v>229</v>
      </c>
      <c r="D117" s="51"/>
      <c r="E117" s="50"/>
      <c r="F117" s="52"/>
      <c r="G117" s="61"/>
    </row>
    <row r="118" spans="1:7" ht="20.100000000000001" customHeight="1" x14ac:dyDescent="0.25">
      <c r="A118" s="48"/>
      <c r="B118" s="86">
        <v>1</v>
      </c>
      <c r="C118" s="87" t="s">
        <v>230</v>
      </c>
      <c r="D118" s="51"/>
      <c r="E118" s="50"/>
      <c r="F118" s="52"/>
      <c r="G118" s="61"/>
    </row>
    <row r="119" spans="1:7" ht="20.100000000000001" customHeight="1" x14ac:dyDescent="0.25">
      <c r="A119" s="48"/>
      <c r="B119" s="86">
        <v>1</v>
      </c>
      <c r="C119" s="87" t="s">
        <v>231</v>
      </c>
      <c r="D119" s="51"/>
      <c r="E119" s="50"/>
      <c r="F119" s="52"/>
      <c r="G119" s="61"/>
    </row>
    <row r="120" spans="1:7" ht="20.100000000000001" customHeight="1" x14ac:dyDescent="0.25">
      <c r="A120" s="48"/>
      <c r="B120" s="86">
        <v>1</v>
      </c>
      <c r="C120" s="87" t="s">
        <v>232</v>
      </c>
      <c r="D120" s="51"/>
      <c r="E120" s="50"/>
      <c r="F120" s="52"/>
      <c r="G120" s="61"/>
    </row>
    <row r="121" spans="1:7" ht="20.100000000000001" customHeight="1" x14ac:dyDescent="0.25">
      <c r="A121" s="48"/>
      <c r="B121" s="86">
        <v>1</v>
      </c>
      <c r="C121" s="87" t="s">
        <v>233</v>
      </c>
      <c r="D121" s="51"/>
      <c r="E121" s="50"/>
      <c r="F121" s="52"/>
      <c r="G121" s="61"/>
    </row>
    <row r="122" spans="1:7" ht="20.100000000000001" customHeight="1" x14ac:dyDescent="0.25">
      <c r="A122" s="48"/>
      <c r="B122" s="86">
        <v>1</v>
      </c>
      <c r="C122" s="87" t="s">
        <v>234</v>
      </c>
      <c r="D122" s="51"/>
      <c r="E122" s="50"/>
      <c r="F122" s="52"/>
      <c r="G122" s="61"/>
    </row>
    <row r="123" spans="1:7" ht="20.100000000000001" customHeight="1" x14ac:dyDescent="0.25">
      <c r="A123" s="48"/>
      <c r="B123" s="86">
        <v>1</v>
      </c>
      <c r="C123" s="87" t="s">
        <v>235</v>
      </c>
      <c r="D123" s="51"/>
      <c r="E123" s="50"/>
      <c r="F123" s="52"/>
      <c r="G123" s="61"/>
    </row>
    <row r="124" spans="1:7" ht="20.100000000000001" customHeight="1" x14ac:dyDescent="0.25">
      <c r="A124" s="48"/>
      <c r="B124" s="84">
        <v>14</v>
      </c>
      <c r="C124" s="87"/>
      <c r="D124" s="51"/>
      <c r="E124" s="50"/>
      <c r="F124" s="52"/>
      <c r="G124" s="61"/>
    </row>
    <row r="125" spans="1:7" ht="20.100000000000001" customHeight="1" x14ac:dyDescent="0.25">
      <c r="A125" s="48"/>
      <c r="B125" s="85"/>
      <c r="C125" s="84" t="s">
        <v>236</v>
      </c>
      <c r="D125" s="51"/>
      <c r="E125" s="50"/>
      <c r="F125" s="52"/>
      <c r="G125" s="61"/>
    </row>
    <row r="126" spans="1:7" ht="20.100000000000001" customHeight="1" x14ac:dyDescent="0.25">
      <c r="A126" s="48"/>
      <c r="B126" s="86">
        <v>3</v>
      </c>
      <c r="C126" s="87" t="s">
        <v>237</v>
      </c>
      <c r="D126" s="51"/>
      <c r="E126" s="50"/>
      <c r="F126" s="52"/>
      <c r="G126" s="61"/>
    </row>
    <row r="127" spans="1:7" ht="20.100000000000001" customHeight="1" x14ac:dyDescent="0.25">
      <c r="A127" s="48"/>
      <c r="B127" s="86">
        <v>1</v>
      </c>
      <c r="C127" s="87" t="s">
        <v>238</v>
      </c>
      <c r="D127" s="51"/>
      <c r="E127" s="50"/>
      <c r="F127" s="52"/>
      <c r="G127" s="61"/>
    </row>
    <row r="128" spans="1:7" ht="20.100000000000001" customHeight="1" x14ac:dyDescent="0.25">
      <c r="A128" s="48"/>
      <c r="B128" s="86">
        <v>1</v>
      </c>
      <c r="C128" s="87" t="s">
        <v>239</v>
      </c>
      <c r="D128" s="51"/>
      <c r="E128" s="50"/>
      <c r="F128" s="52"/>
      <c r="G128" s="61"/>
    </row>
    <row r="129" spans="1:7" ht="20.100000000000001" customHeight="1" x14ac:dyDescent="0.25">
      <c r="A129" s="48"/>
      <c r="B129" s="86">
        <v>0</v>
      </c>
      <c r="C129" s="87" t="s">
        <v>240</v>
      </c>
      <c r="D129" s="51"/>
      <c r="E129" s="50"/>
      <c r="F129" s="52"/>
      <c r="G129" s="61"/>
    </row>
    <row r="130" spans="1:7" ht="20.100000000000001" customHeight="1" x14ac:dyDescent="0.25">
      <c r="A130" s="48"/>
      <c r="B130" s="86">
        <v>1</v>
      </c>
      <c r="C130" s="87" t="s">
        <v>241</v>
      </c>
      <c r="D130" s="51"/>
      <c r="E130" s="50"/>
      <c r="F130" s="52"/>
      <c r="G130" s="61"/>
    </row>
    <row r="131" spans="1:7" ht="20.100000000000001" customHeight="1" x14ac:dyDescent="0.25">
      <c r="A131" s="48"/>
      <c r="B131" s="86">
        <v>1</v>
      </c>
      <c r="C131" s="87" t="s">
        <v>242</v>
      </c>
      <c r="D131" s="51"/>
      <c r="E131" s="50"/>
      <c r="F131" s="52"/>
      <c r="G131" s="61"/>
    </row>
    <row r="132" spans="1:7" ht="20.100000000000001" customHeight="1" x14ac:dyDescent="0.25">
      <c r="A132" s="48"/>
      <c r="B132" s="86">
        <v>1</v>
      </c>
      <c r="C132" s="87" t="s">
        <v>243</v>
      </c>
      <c r="D132" s="51"/>
      <c r="E132" s="50"/>
      <c r="F132" s="52"/>
      <c r="G132" s="61"/>
    </row>
    <row r="133" spans="1:7" ht="20.100000000000001" customHeight="1" x14ac:dyDescent="0.25">
      <c r="A133" s="48"/>
      <c r="B133" s="86">
        <v>2</v>
      </c>
      <c r="C133" s="87" t="s">
        <v>244</v>
      </c>
      <c r="D133" s="51"/>
      <c r="E133" s="50"/>
      <c r="F133" s="52"/>
      <c r="G133" s="61"/>
    </row>
    <row r="134" spans="1:7" ht="20.100000000000001" customHeight="1" x14ac:dyDescent="0.25">
      <c r="A134" s="48"/>
      <c r="B134" s="86">
        <v>1</v>
      </c>
      <c r="C134" s="88" t="s">
        <v>245</v>
      </c>
      <c r="D134" s="51"/>
      <c r="E134" s="50"/>
      <c r="F134" s="52"/>
      <c r="G134" s="61"/>
    </row>
    <row r="135" spans="1:7" ht="20.100000000000001" customHeight="1" x14ac:dyDescent="0.25">
      <c r="A135" s="48"/>
      <c r="B135" s="86">
        <v>1</v>
      </c>
      <c r="C135" s="87" t="s">
        <v>246</v>
      </c>
      <c r="D135" s="51"/>
      <c r="E135" s="50"/>
      <c r="F135" s="52"/>
      <c r="G135" s="61"/>
    </row>
    <row r="136" spans="1:7" ht="20.100000000000001" customHeight="1" x14ac:dyDescent="0.25">
      <c r="A136" s="48"/>
      <c r="B136" s="86">
        <v>1</v>
      </c>
      <c r="C136" s="87" t="s">
        <v>247</v>
      </c>
      <c r="D136" s="51"/>
      <c r="E136" s="50"/>
      <c r="F136" s="52"/>
      <c r="G136" s="61"/>
    </row>
    <row r="137" spans="1:7" ht="20.100000000000001" customHeight="1" x14ac:dyDescent="0.25">
      <c r="A137" s="48"/>
      <c r="B137" s="86">
        <v>1</v>
      </c>
      <c r="C137" s="87" t="s">
        <v>248</v>
      </c>
      <c r="D137" s="51"/>
      <c r="E137" s="50"/>
      <c r="F137" s="52"/>
      <c r="G137" s="61"/>
    </row>
    <row r="138" spans="1:7" ht="20.100000000000001" customHeight="1" x14ac:dyDescent="0.25">
      <c r="A138" s="48"/>
      <c r="B138" s="86">
        <v>1</v>
      </c>
      <c r="C138" s="87" t="s">
        <v>249</v>
      </c>
      <c r="D138" s="51"/>
      <c r="E138" s="50"/>
      <c r="F138" s="52"/>
      <c r="G138" s="61"/>
    </row>
    <row r="139" spans="1:7" ht="20.100000000000001" customHeight="1" x14ac:dyDescent="0.25">
      <c r="A139" s="48"/>
      <c r="B139" s="86">
        <v>1</v>
      </c>
      <c r="C139" s="87" t="s">
        <v>250</v>
      </c>
      <c r="D139" s="51"/>
      <c r="E139" s="50"/>
      <c r="F139" s="52"/>
      <c r="G139" s="61"/>
    </row>
    <row r="140" spans="1:7" ht="20.100000000000001" customHeight="1" x14ac:dyDescent="0.25">
      <c r="A140" s="48"/>
      <c r="B140" s="86">
        <v>1</v>
      </c>
      <c r="C140" s="87" t="s">
        <v>251</v>
      </c>
      <c r="D140" s="51"/>
      <c r="E140" s="50"/>
      <c r="F140" s="52"/>
      <c r="G140" s="61"/>
    </row>
    <row r="141" spans="1:7" ht="20.100000000000001" customHeight="1" x14ac:dyDescent="0.25">
      <c r="A141" s="48"/>
      <c r="B141" s="84">
        <v>17</v>
      </c>
      <c r="C141" s="87"/>
      <c r="D141" s="51"/>
      <c r="E141" s="50"/>
      <c r="F141" s="52"/>
      <c r="G141" s="61"/>
    </row>
    <row r="142" spans="1:7" ht="20.100000000000001" customHeight="1" x14ac:dyDescent="0.25">
      <c r="A142" s="48"/>
      <c r="B142" s="85"/>
      <c r="C142" s="84" t="s">
        <v>252</v>
      </c>
      <c r="D142" s="51"/>
      <c r="E142" s="50"/>
      <c r="F142" s="52"/>
      <c r="G142" s="61"/>
    </row>
    <row r="143" spans="1:7" ht="20.100000000000001" customHeight="1" x14ac:dyDescent="0.25">
      <c r="A143" s="48"/>
      <c r="B143" s="86">
        <v>1</v>
      </c>
      <c r="C143" s="87" t="s">
        <v>253</v>
      </c>
      <c r="D143" s="51"/>
      <c r="E143" s="50"/>
      <c r="F143" s="52"/>
      <c r="G143" s="61"/>
    </row>
    <row r="144" spans="1:7" ht="20.100000000000001" customHeight="1" x14ac:dyDescent="0.25">
      <c r="A144" s="48"/>
      <c r="B144" s="86">
        <v>1</v>
      </c>
      <c r="C144" s="87" t="s">
        <v>254</v>
      </c>
      <c r="D144" s="51"/>
      <c r="E144" s="50"/>
      <c r="F144" s="52"/>
      <c r="G144" s="61"/>
    </row>
    <row r="145" spans="1:7" ht="20.100000000000001" customHeight="1" x14ac:dyDescent="0.25">
      <c r="A145" s="48"/>
      <c r="B145" s="86">
        <v>1</v>
      </c>
      <c r="C145" s="87" t="s">
        <v>255</v>
      </c>
      <c r="D145" s="51"/>
      <c r="E145" s="50"/>
      <c r="F145" s="52"/>
      <c r="G145" s="61"/>
    </row>
    <row r="146" spans="1:7" ht="20.100000000000001" customHeight="1" x14ac:dyDescent="0.25">
      <c r="A146" s="48"/>
      <c r="B146" s="86">
        <v>1</v>
      </c>
      <c r="C146" s="87" t="s">
        <v>230</v>
      </c>
      <c r="D146" s="51"/>
      <c r="E146" s="50"/>
      <c r="F146" s="52"/>
      <c r="G146" s="61"/>
    </row>
    <row r="147" spans="1:7" ht="20.100000000000001" customHeight="1" x14ac:dyDescent="0.25">
      <c r="A147" s="48"/>
      <c r="B147" s="86">
        <v>6</v>
      </c>
      <c r="C147" s="87" t="s">
        <v>256</v>
      </c>
      <c r="D147" s="51"/>
      <c r="E147" s="50"/>
      <c r="F147" s="52"/>
      <c r="G147" s="61"/>
    </row>
    <row r="148" spans="1:7" ht="20.100000000000001" customHeight="1" x14ac:dyDescent="0.25">
      <c r="A148" s="48"/>
      <c r="B148" s="86">
        <v>1</v>
      </c>
      <c r="C148" s="87" t="s">
        <v>257</v>
      </c>
      <c r="D148" s="51"/>
      <c r="E148" s="50"/>
      <c r="F148" s="52"/>
      <c r="G148" s="61"/>
    </row>
    <row r="149" spans="1:7" ht="20.100000000000001" customHeight="1" x14ac:dyDescent="0.25">
      <c r="A149" s="48"/>
      <c r="B149" s="86">
        <v>1</v>
      </c>
      <c r="C149" s="87" t="s">
        <v>258</v>
      </c>
      <c r="D149" s="51"/>
      <c r="E149" s="50"/>
      <c r="F149" s="52"/>
      <c r="G149" s="61"/>
    </row>
    <row r="150" spans="1:7" ht="20.100000000000001" customHeight="1" x14ac:dyDescent="0.25">
      <c r="A150" s="48"/>
      <c r="B150" s="86">
        <v>1</v>
      </c>
      <c r="C150" s="87" t="s">
        <v>259</v>
      </c>
      <c r="D150" s="51"/>
      <c r="E150" s="50"/>
      <c r="F150" s="52"/>
      <c r="G150" s="61"/>
    </row>
    <row r="151" spans="1:7" ht="20.100000000000001" customHeight="1" x14ac:dyDescent="0.25">
      <c r="A151" s="48"/>
      <c r="B151" s="86" t="s">
        <v>260</v>
      </c>
      <c r="C151" s="87" t="s">
        <v>261</v>
      </c>
      <c r="D151" s="51"/>
      <c r="E151" s="50"/>
      <c r="F151" s="52"/>
      <c r="G151" s="61"/>
    </row>
    <row r="152" spans="1:7" ht="20.100000000000001" customHeight="1" x14ac:dyDescent="0.25">
      <c r="A152" s="48"/>
      <c r="B152" s="86">
        <v>1</v>
      </c>
      <c r="C152" s="87" t="s">
        <v>262</v>
      </c>
      <c r="D152" s="51"/>
      <c r="E152" s="50"/>
      <c r="F152" s="52"/>
      <c r="G152" s="61"/>
    </row>
    <row r="153" spans="1:7" ht="20.100000000000001" customHeight="1" x14ac:dyDescent="0.25">
      <c r="A153" s="48"/>
      <c r="B153" s="86">
        <v>1</v>
      </c>
      <c r="C153" s="87" t="s">
        <v>263</v>
      </c>
      <c r="D153" s="51"/>
      <c r="E153" s="50"/>
      <c r="F153" s="52"/>
      <c r="G153" s="61"/>
    </row>
    <row r="154" spans="1:7" ht="20.100000000000001" customHeight="1" x14ac:dyDescent="0.25">
      <c r="A154" s="48"/>
      <c r="B154" s="86">
        <v>1</v>
      </c>
      <c r="C154" s="87" t="s">
        <v>264</v>
      </c>
      <c r="D154" s="51"/>
      <c r="E154" s="50"/>
      <c r="F154" s="52"/>
      <c r="G154" s="61"/>
    </row>
    <row r="155" spans="1:7" ht="20.100000000000001" customHeight="1" x14ac:dyDescent="0.25">
      <c r="A155" s="48"/>
      <c r="B155" s="84">
        <v>15</v>
      </c>
      <c r="C155" s="87"/>
      <c r="D155" s="51"/>
      <c r="E155" s="50"/>
      <c r="F155" s="52"/>
      <c r="G155" s="61"/>
    </row>
    <row r="156" spans="1:7" ht="20.100000000000001" customHeight="1" x14ac:dyDescent="0.25">
      <c r="A156" s="48"/>
      <c r="B156" s="85"/>
      <c r="C156" s="84" t="s">
        <v>265</v>
      </c>
      <c r="D156" s="51"/>
      <c r="E156" s="50"/>
      <c r="F156" s="52"/>
      <c r="G156" s="61"/>
    </row>
    <row r="157" spans="1:7" ht="20.100000000000001" customHeight="1" x14ac:dyDescent="0.25">
      <c r="A157" s="48"/>
      <c r="B157" s="86">
        <v>1</v>
      </c>
      <c r="C157" s="88" t="s">
        <v>266</v>
      </c>
      <c r="D157" s="51"/>
      <c r="E157" s="50"/>
      <c r="F157" s="52"/>
      <c r="G157" s="61"/>
    </row>
    <row r="158" spans="1:7" ht="20.100000000000001" customHeight="1" x14ac:dyDescent="0.25">
      <c r="A158" s="48"/>
      <c r="B158" s="86">
        <v>2</v>
      </c>
      <c r="C158" s="88" t="s">
        <v>267</v>
      </c>
      <c r="D158" s="51"/>
      <c r="E158" s="50"/>
      <c r="F158" s="52"/>
      <c r="G158" s="61"/>
    </row>
    <row r="159" spans="1:7" ht="20.100000000000001" customHeight="1" x14ac:dyDescent="0.25">
      <c r="A159" s="48"/>
      <c r="B159" s="86">
        <v>1</v>
      </c>
      <c r="C159" s="88" t="s">
        <v>268</v>
      </c>
      <c r="D159" s="51"/>
      <c r="E159" s="50"/>
      <c r="F159" s="52"/>
      <c r="G159" s="61"/>
    </row>
    <row r="160" spans="1:7" ht="20.100000000000001" customHeight="1" x14ac:dyDescent="0.25">
      <c r="A160" s="48"/>
      <c r="B160" s="86">
        <v>1</v>
      </c>
      <c r="C160" s="88" t="s">
        <v>269</v>
      </c>
      <c r="D160" s="51"/>
      <c r="E160" s="50"/>
      <c r="F160" s="52"/>
      <c r="G160" s="61"/>
    </row>
    <row r="161" spans="1:7" ht="20.100000000000001" customHeight="1" x14ac:dyDescent="0.25">
      <c r="A161" s="48"/>
      <c r="B161" s="86">
        <v>3</v>
      </c>
      <c r="C161" s="88" t="s">
        <v>270</v>
      </c>
      <c r="D161" s="51"/>
      <c r="E161" s="50"/>
      <c r="F161" s="52"/>
      <c r="G161" s="61"/>
    </row>
    <row r="162" spans="1:7" ht="20.100000000000001" customHeight="1" x14ac:dyDescent="0.25">
      <c r="A162" s="48"/>
      <c r="B162" s="86">
        <v>1</v>
      </c>
      <c r="C162" s="88" t="s">
        <v>271</v>
      </c>
      <c r="D162" s="51"/>
      <c r="E162" s="50"/>
      <c r="F162" s="52"/>
      <c r="G162" s="61"/>
    </row>
    <row r="163" spans="1:7" ht="20.100000000000001" customHeight="1" x14ac:dyDescent="0.25">
      <c r="A163" s="48"/>
      <c r="B163" s="86">
        <v>1</v>
      </c>
      <c r="C163" s="88" t="s">
        <v>272</v>
      </c>
      <c r="D163" s="51"/>
      <c r="E163" s="50"/>
      <c r="F163" s="52"/>
      <c r="G163" s="61"/>
    </row>
    <row r="164" spans="1:7" ht="20.100000000000001" customHeight="1" x14ac:dyDescent="0.25">
      <c r="A164" s="48"/>
      <c r="B164" s="86">
        <v>1</v>
      </c>
      <c r="C164" s="88" t="s">
        <v>273</v>
      </c>
      <c r="D164" s="51"/>
      <c r="E164" s="50"/>
      <c r="F164" s="52"/>
      <c r="G164" s="61"/>
    </row>
    <row r="165" spans="1:7" ht="20.100000000000001" customHeight="1" x14ac:dyDescent="0.25">
      <c r="A165" s="48"/>
      <c r="B165" s="86">
        <v>1</v>
      </c>
      <c r="C165" s="88" t="s">
        <v>274</v>
      </c>
      <c r="D165" s="51"/>
      <c r="E165" s="50"/>
      <c r="F165" s="52"/>
      <c r="G165" s="61"/>
    </row>
    <row r="166" spans="1:7" ht="20.100000000000001" customHeight="1" x14ac:dyDescent="0.25">
      <c r="A166" s="48"/>
      <c r="B166" s="86">
        <v>1</v>
      </c>
      <c r="C166" s="88" t="s">
        <v>275</v>
      </c>
      <c r="D166" s="51"/>
      <c r="E166" s="50"/>
      <c r="F166" s="52"/>
      <c r="G166" s="61"/>
    </row>
    <row r="167" spans="1:7" ht="20.100000000000001" customHeight="1" x14ac:dyDescent="0.25">
      <c r="A167" s="48"/>
      <c r="B167" s="86">
        <v>1</v>
      </c>
      <c r="C167" s="88" t="s">
        <v>276</v>
      </c>
      <c r="D167" s="51"/>
      <c r="E167" s="50"/>
      <c r="F167" s="52"/>
      <c r="G167" s="61"/>
    </row>
    <row r="168" spans="1:7" ht="20.100000000000001" customHeight="1" x14ac:dyDescent="0.25">
      <c r="A168" s="48"/>
      <c r="B168" s="86">
        <v>1</v>
      </c>
      <c r="C168" s="88" t="s">
        <v>277</v>
      </c>
      <c r="D168" s="51"/>
      <c r="E168" s="50"/>
      <c r="F168" s="52"/>
      <c r="G168" s="61"/>
    </row>
    <row r="169" spans="1:7" ht="20.100000000000001" customHeight="1" x14ac:dyDescent="0.25">
      <c r="A169" s="48"/>
      <c r="B169" s="86">
        <v>1</v>
      </c>
      <c r="C169" s="88" t="s">
        <v>278</v>
      </c>
      <c r="D169" s="51"/>
      <c r="E169" s="50"/>
      <c r="F169" s="52"/>
      <c r="G169" s="61"/>
    </row>
    <row r="170" spans="1:7" ht="20.100000000000001" customHeight="1" x14ac:dyDescent="0.25">
      <c r="A170" s="48"/>
      <c r="B170" s="86">
        <v>1</v>
      </c>
      <c r="C170" s="88" t="s">
        <v>279</v>
      </c>
      <c r="D170" s="51"/>
      <c r="E170" s="50"/>
      <c r="F170" s="52"/>
      <c r="G170" s="61"/>
    </row>
    <row r="171" spans="1:7" ht="20.100000000000001" customHeight="1" x14ac:dyDescent="0.25">
      <c r="A171" s="48"/>
      <c r="B171" s="86">
        <v>1</v>
      </c>
      <c r="C171" s="88" t="s">
        <v>280</v>
      </c>
      <c r="D171" s="51"/>
      <c r="E171" s="50"/>
      <c r="F171" s="52"/>
      <c r="G171" s="61"/>
    </row>
    <row r="172" spans="1:7" ht="20.100000000000001" customHeight="1" x14ac:dyDescent="0.25">
      <c r="A172" s="48"/>
      <c r="B172" s="86">
        <v>1</v>
      </c>
      <c r="C172" s="87" t="s">
        <v>281</v>
      </c>
      <c r="D172" s="51"/>
      <c r="E172" s="50"/>
      <c r="F172" s="52"/>
      <c r="G172" s="61"/>
    </row>
    <row r="173" spans="1:7" ht="20.100000000000001" customHeight="1" x14ac:dyDescent="0.25">
      <c r="A173" s="48"/>
      <c r="B173" s="86">
        <v>1</v>
      </c>
      <c r="C173" s="87" t="s">
        <v>282</v>
      </c>
      <c r="D173" s="51"/>
      <c r="E173" s="50"/>
      <c r="F173" s="52"/>
      <c r="G173" s="61"/>
    </row>
    <row r="174" spans="1:7" ht="20.100000000000001" customHeight="1" x14ac:dyDescent="0.25">
      <c r="A174" s="48"/>
      <c r="B174" s="86">
        <v>10</v>
      </c>
      <c r="C174" s="88" t="s">
        <v>283</v>
      </c>
      <c r="D174" s="51"/>
      <c r="E174" s="50"/>
      <c r="F174" s="52"/>
      <c r="G174" s="61"/>
    </row>
    <row r="175" spans="1:7" ht="20.100000000000001" customHeight="1" x14ac:dyDescent="0.25">
      <c r="A175" s="48"/>
      <c r="B175" s="86">
        <v>5</v>
      </c>
      <c r="C175" s="88" t="s">
        <v>284</v>
      </c>
      <c r="D175" s="51"/>
      <c r="E175" s="50"/>
      <c r="F175" s="52"/>
      <c r="G175" s="61"/>
    </row>
    <row r="176" spans="1:7" ht="20.100000000000001" customHeight="1" x14ac:dyDescent="0.25">
      <c r="A176" s="48"/>
      <c r="B176" s="84">
        <v>35</v>
      </c>
      <c r="C176" s="87"/>
      <c r="D176" s="51"/>
      <c r="E176" s="50"/>
      <c r="F176" s="52"/>
      <c r="G176" s="61"/>
    </row>
    <row r="177" spans="1:7" ht="20.100000000000001" customHeight="1" x14ac:dyDescent="0.25">
      <c r="A177" s="48"/>
      <c r="B177" s="86">
        <v>1</v>
      </c>
      <c r="C177" s="87" t="s">
        <v>288</v>
      </c>
      <c r="D177" s="51"/>
      <c r="E177" s="50"/>
      <c r="F177" s="52"/>
      <c r="G177" s="61"/>
    </row>
    <row r="178" spans="1:7" ht="20.100000000000001" customHeight="1" x14ac:dyDescent="0.25">
      <c r="A178" s="48"/>
      <c r="B178" s="86"/>
      <c r="C178" s="87"/>
      <c r="D178" s="51"/>
      <c r="E178" s="50"/>
      <c r="F178" s="52"/>
      <c r="G178" s="61"/>
    </row>
    <row r="179" spans="1:7" ht="20.100000000000001" customHeight="1" x14ac:dyDescent="0.25">
      <c r="A179" s="48"/>
      <c r="B179" s="86">
        <v>1</v>
      </c>
      <c r="C179" s="87" t="s">
        <v>307</v>
      </c>
      <c r="D179" s="51"/>
      <c r="E179" s="50"/>
      <c r="F179" s="52"/>
      <c r="G179" s="61"/>
    </row>
    <row r="180" spans="1:7" ht="20.100000000000001" customHeight="1" x14ac:dyDescent="0.25">
      <c r="A180" s="48"/>
      <c r="B180" s="86">
        <v>4</v>
      </c>
      <c r="C180" s="87" t="s">
        <v>57</v>
      </c>
      <c r="D180" s="51"/>
      <c r="E180" s="50"/>
      <c r="F180" s="52"/>
      <c r="G180" s="61"/>
    </row>
    <row r="181" spans="1:7" ht="20.100000000000001" customHeight="1" x14ac:dyDescent="0.25">
      <c r="A181" s="48"/>
      <c r="B181" s="86">
        <v>1</v>
      </c>
      <c r="C181" s="87" t="s">
        <v>285</v>
      </c>
      <c r="D181" s="51"/>
      <c r="E181" s="50"/>
      <c r="F181" s="52"/>
      <c r="G181" s="61"/>
    </row>
    <row r="182" spans="1:7" ht="20.100000000000001" customHeight="1" x14ac:dyDescent="0.25">
      <c r="A182" s="48"/>
      <c r="B182" s="86">
        <v>1</v>
      </c>
      <c r="C182" s="87" t="s">
        <v>286</v>
      </c>
      <c r="D182" s="51"/>
      <c r="E182" s="50"/>
      <c r="F182" s="52"/>
      <c r="G182" s="61"/>
    </row>
    <row r="183" spans="1:7" ht="20.100000000000001" customHeight="1" x14ac:dyDescent="0.25">
      <c r="A183" s="48"/>
      <c r="B183" s="86">
        <v>1</v>
      </c>
      <c r="C183" s="87" t="s">
        <v>287</v>
      </c>
      <c r="D183" s="51"/>
      <c r="E183" s="50"/>
      <c r="F183" s="52"/>
      <c r="G183" s="61"/>
    </row>
    <row r="184" spans="1:7" ht="20.100000000000001" customHeight="1" x14ac:dyDescent="0.25">
      <c r="A184" s="48"/>
      <c r="B184" s="84">
        <v>8</v>
      </c>
      <c r="C184" s="89"/>
      <c r="D184" s="51"/>
      <c r="E184" s="50"/>
      <c r="F184" s="52"/>
      <c r="G184" s="61"/>
    </row>
    <row r="185" spans="1:7" ht="20.100000000000001" customHeight="1" x14ac:dyDescent="0.2">
      <c r="A185" s="63"/>
      <c r="B185" s="49"/>
      <c r="C185" s="63"/>
      <c r="D185" s="63"/>
      <c r="E185" s="63"/>
      <c r="F185" s="63"/>
      <c r="G185" s="63"/>
    </row>
    <row r="186" spans="1:7" ht="20.100000000000001" customHeight="1" x14ac:dyDescent="0.2">
      <c r="A186" s="63"/>
      <c r="B186" s="49"/>
      <c r="C186" s="63"/>
      <c r="D186" s="63"/>
      <c r="E186" s="63"/>
      <c r="F186" s="63"/>
      <c r="G186" s="63"/>
    </row>
    <row r="187" spans="1:7" ht="20.100000000000001" customHeight="1" x14ac:dyDescent="0.2">
      <c r="A187" s="63"/>
      <c r="B187" s="63"/>
      <c r="C187" s="63"/>
      <c r="D187" s="63"/>
      <c r="E187" s="63"/>
      <c r="F187" s="63"/>
      <c r="G187" s="63"/>
    </row>
    <row r="188" spans="1:7" ht="20.100000000000001" customHeight="1" x14ac:dyDescent="0.2">
      <c r="A188" s="63"/>
      <c r="B188" s="63"/>
      <c r="C188" s="63"/>
      <c r="D188" s="63"/>
      <c r="E188" s="63"/>
      <c r="F188" s="63"/>
      <c r="G188" s="63"/>
    </row>
    <row r="189" spans="1:7" ht="20.100000000000001" customHeight="1" x14ac:dyDescent="0.2">
      <c r="B189" s="10"/>
      <c r="C189" s="62" t="s">
        <v>15</v>
      </c>
      <c r="D189" s="63"/>
      <c r="E189" s="63"/>
      <c r="F189" s="63"/>
      <c r="G189" s="63"/>
    </row>
    <row r="190" spans="1:7" ht="20.100000000000001" customHeight="1" x14ac:dyDescent="0.2">
      <c r="B190" s="10"/>
      <c r="C190" s="63"/>
      <c r="D190" s="63"/>
      <c r="E190" s="63"/>
      <c r="F190" s="63"/>
      <c r="G190" s="63"/>
    </row>
    <row r="191" spans="1:7" ht="20.100000000000001" customHeight="1" x14ac:dyDescent="0.2">
      <c r="B191" s="10"/>
      <c r="C191" s="63"/>
      <c r="D191" s="63"/>
      <c r="E191" s="63"/>
      <c r="F191" s="63"/>
      <c r="G191" s="63"/>
    </row>
    <row r="192" spans="1:7" ht="20.100000000000001" customHeight="1" x14ac:dyDescent="0.2">
      <c r="B192" s="10"/>
      <c r="C192" s="63"/>
      <c r="D192" s="63"/>
      <c r="E192" s="63"/>
      <c r="F192" s="63"/>
      <c r="G192" s="63"/>
    </row>
    <row r="193" spans="2:7" ht="20.100000000000001" customHeight="1" x14ac:dyDescent="0.2">
      <c r="B193" s="10"/>
      <c r="C193" s="62" t="s">
        <v>16</v>
      </c>
      <c r="D193" s="63"/>
      <c r="E193" s="63"/>
      <c r="F193" s="63"/>
      <c r="G193" s="63"/>
    </row>
    <row r="194" spans="2:7" ht="20.100000000000001" customHeight="1" x14ac:dyDescent="0.2">
      <c r="B194" s="10"/>
      <c r="C194" s="63"/>
      <c r="D194" s="63"/>
      <c r="E194" s="63"/>
      <c r="F194" s="63"/>
      <c r="G194" s="63"/>
    </row>
    <row r="195" spans="2:7" ht="20.100000000000001" customHeight="1" x14ac:dyDescent="0.2">
      <c r="B195" s="10"/>
      <c r="C195" s="55"/>
      <c r="D195" s="55"/>
      <c r="E195" s="63"/>
      <c r="F195" s="56"/>
      <c r="G195" s="56"/>
    </row>
    <row r="196" spans="2:7" ht="20.100000000000001" customHeight="1" x14ac:dyDescent="0.2">
      <c r="B196" s="10"/>
      <c r="C196" s="62" t="s">
        <v>58</v>
      </c>
      <c r="D196" s="63"/>
      <c r="E196" s="63"/>
      <c r="F196" s="56"/>
      <c r="G196" s="57"/>
    </row>
    <row r="197" spans="2:7" ht="20.100000000000001" customHeight="1" x14ac:dyDescent="0.2">
      <c r="B197" s="10"/>
      <c r="C197" s="53"/>
      <c r="D197" s="58"/>
      <c r="E197" s="63"/>
      <c r="F197" s="54"/>
      <c r="G197" s="57"/>
    </row>
    <row r="198" spans="2:7" ht="20.100000000000001" customHeight="1" x14ac:dyDescent="0.2">
      <c r="B198" s="10"/>
      <c r="C198" s="53"/>
      <c r="D198" s="58"/>
      <c r="E198" s="63"/>
      <c r="F198" s="54"/>
      <c r="G198" s="57"/>
    </row>
    <row r="199" spans="2:7" ht="20.100000000000001" customHeight="1" x14ac:dyDescent="0.2">
      <c r="B199" s="10"/>
      <c r="C199" s="62" t="s">
        <v>17</v>
      </c>
      <c r="D199" s="58"/>
      <c r="E199" s="63"/>
      <c r="F199" s="54"/>
      <c r="G199" s="57"/>
    </row>
    <row r="200" spans="2:7" ht="20.100000000000001" customHeight="1" x14ac:dyDescent="0.2">
      <c r="B200" s="10"/>
      <c r="C200" s="53"/>
      <c r="D200" s="58"/>
      <c r="E200" s="63"/>
      <c r="F200" s="54"/>
      <c r="G200" s="57"/>
    </row>
    <row r="201" spans="2:7" ht="20.100000000000001" customHeight="1" x14ac:dyDescent="0.2">
      <c r="B201" s="10"/>
      <c r="C201" s="57"/>
      <c r="D201" s="59"/>
      <c r="E201" s="63"/>
      <c r="F201" s="57"/>
      <c r="G201" s="57"/>
    </row>
    <row r="202" spans="2:7" ht="20.100000000000001" customHeight="1" x14ac:dyDescent="0.25">
      <c r="B202" s="10"/>
      <c r="C202" s="62" t="s">
        <v>18</v>
      </c>
      <c r="D202"/>
      <c r="E202" s="63"/>
      <c r="F202"/>
      <c r="G202" s="57"/>
    </row>
    <row r="203" spans="2:7" ht="20.100000000000001" customHeight="1" x14ac:dyDescent="0.2">
      <c r="E203" s="63"/>
    </row>
    <row r="204" spans="2:7" ht="20.100000000000001" customHeight="1" x14ac:dyDescent="0.2">
      <c r="E204" s="63"/>
    </row>
    <row r="205" spans="2:7" ht="20.100000000000001" customHeight="1" x14ac:dyDescent="0.2">
      <c r="E205" s="63"/>
    </row>
    <row r="206" spans="2:7" ht="20.100000000000001" customHeight="1" x14ac:dyDescent="0.2">
      <c r="E206" s="63"/>
    </row>
    <row r="207" spans="2:7" ht="20.100000000000001" customHeight="1" x14ac:dyDescent="0.2">
      <c r="E207" s="63"/>
    </row>
    <row r="208" spans="2:7" ht="20.100000000000001" customHeight="1" x14ac:dyDescent="0.2">
      <c r="E208" s="63"/>
    </row>
    <row r="209" spans="5:5" ht="20.100000000000001" customHeight="1" x14ac:dyDescent="0.2">
      <c r="E209" s="63"/>
    </row>
    <row r="210" spans="5:5" ht="20.100000000000001" customHeight="1" x14ac:dyDescent="0.2">
      <c r="E210" s="63"/>
    </row>
    <row r="211" spans="5:5" ht="20.100000000000001" customHeight="1" x14ac:dyDescent="0.2">
      <c r="E211" s="63"/>
    </row>
    <row r="212" spans="5:5" ht="20.100000000000001" customHeight="1" x14ac:dyDescent="0.2">
      <c r="E212" s="63"/>
    </row>
    <row r="213" spans="5:5" ht="20.100000000000001" customHeight="1" x14ac:dyDescent="0.2">
      <c r="E213" s="63"/>
    </row>
    <row r="214" spans="5:5" ht="20.100000000000001" customHeight="1" x14ac:dyDescent="0.2">
      <c r="E214" s="63"/>
    </row>
    <row r="215" spans="5:5" ht="20.100000000000001" customHeight="1" x14ac:dyDescent="0.2">
      <c r="E215" s="63"/>
    </row>
    <row r="216" spans="5:5" ht="20.100000000000001" customHeight="1" x14ac:dyDescent="0.2">
      <c r="E216" s="63"/>
    </row>
    <row r="217" spans="5:5" ht="20.100000000000001" customHeight="1" x14ac:dyDescent="0.2">
      <c r="E217" s="63"/>
    </row>
    <row r="218" spans="5:5" ht="20.100000000000001" customHeight="1" x14ac:dyDescent="0.2">
      <c r="E218" s="63"/>
    </row>
    <row r="219" spans="5:5" ht="20.100000000000001" customHeight="1" x14ac:dyDescent="0.2">
      <c r="E219" s="63"/>
    </row>
    <row r="220" spans="5:5" ht="20.100000000000001" customHeight="1" x14ac:dyDescent="0.2">
      <c r="E220" s="63"/>
    </row>
    <row r="221" spans="5:5" ht="20.100000000000001" customHeight="1" x14ac:dyDescent="0.2">
      <c r="E221" s="63"/>
    </row>
  </sheetData>
  <mergeCells count="5">
    <mergeCell ref="C2:C3"/>
    <mergeCell ref="D2:E2"/>
    <mergeCell ref="C4:C5"/>
    <mergeCell ref="M5:N6"/>
    <mergeCell ref="A11:B11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BC2190E3-697C-451B-85AD-27F6B2A2A904}"/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56</v>
      </c>
      <c r="B1" s="36" t="s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37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43</v>
      </c>
    </row>
    <row r="8" spans="1:1" x14ac:dyDescent="0.25">
      <c r="A8" t="s">
        <v>44</v>
      </c>
    </row>
    <row r="9" spans="1:1" x14ac:dyDescent="0.25">
      <c r="A9" t="s">
        <v>45</v>
      </c>
    </row>
    <row r="10" spans="1:1" x14ac:dyDescent="0.25">
      <c r="A10" t="s">
        <v>46</v>
      </c>
    </row>
    <row r="11" spans="1:1" x14ac:dyDescent="0.25">
      <c r="A11" t="s">
        <v>47</v>
      </c>
    </row>
    <row r="12" spans="1:1" x14ac:dyDescent="0.25">
      <c r="A12" t="s">
        <v>48</v>
      </c>
    </row>
    <row r="13" spans="1:1" x14ac:dyDescent="0.25">
      <c r="A13" t="s">
        <v>49</v>
      </c>
    </row>
    <row r="14" spans="1:1" x14ac:dyDescent="0.25">
      <c r="A14" t="s">
        <v>50</v>
      </c>
    </row>
    <row r="15" spans="1:1" x14ac:dyDescent="0.25">
      <c r="A15" t="s">
        <v>51</v>
      </c>
    </row>
    <row r="16" spans="1:1" x14ac:dyDescent="0.25">
      <c r="A16" t="s">
        <v>52</v>
      </c>
    </row>
    <row r="17" spans="1:1" x14ac:dyDescent="0.25">
      <c r="A17" t="s">
        <v>53</v>
      </c>
    </row>
    <row r="18" spans="1:1" x14ac:dyDescent="0.25">
      <c r="A18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Hoja1</vt:lpstr>
      <vt:lpstr>Hoja3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2023-05-13T15:37:37Z</cp:lastPrinted>
  <dcterms:created xsi:type="dcterms:W3CDTF">2023-01-26T13:28:36Z</dcterms:created>
  <dcterms:modified xsi:type="dcterms:W3CDTF">2023-05-13T15:37:40Z</dcterms:modified>
</cp:coreProperties>
</file>