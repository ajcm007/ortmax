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CLINICA SANTA GEMA\"/>
    </mc:Choice>
  </mc:AlternateContent>
  <xr:revisionPtr revIDLastSave="0" documentId="13_ncr:1_{EAF32C41-BC40-4743-B71D-26551EE8856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1" i="1" l="1"/>
  <c r="D131" i="1"/>
  <c r="D121" i="1"/>
  <c r="D113" i="1"/>
  <c r="B207" i="1" l="1"/>
  <c r="B190" i="1"/>
  <c r="G161" i="1" l="1"/>
  <c r="G162" i="1" s="1"/>
  <c r="G16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790E8FE6-1663-4814-8FCA-9C5549ED9FA4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74BCE34A-F062-46F7-B4FC-538CAB4D3B09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<sst xmlns="http://schemas.openxmlformats.org/spreadsheetml/2006/main" count="476" uniqueCount="467">
  <si>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</si>
  <si>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</si>
  <si>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</si>
  <si>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</si>
  <si>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</si>
  <si>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</si>
  <si>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</si>
  <si>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</si>
  <si>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</si>
  <si>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</si>
  <si>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</si>
  <si>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</si>
  <si>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</si>
  <si>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</si>
  <si>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</si>
  <si>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</si>
  <si>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</si>
  <si>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</si>
  <si>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</si>
  <si>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</si>
  <si>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</si>
  <si>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</si>
  <si>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</si>
  <si>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</si>
  <si>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</si>
  <si>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</si>
  <si>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</si>
  <si>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</si>
  <si>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CLINICA SANTA GEMA</t>
  </si>
  <si>
    <t>GUAYAQUIL</t>
  </si>
  <si>
    <t>INQ</t>
  </si>
  <si>
    <t>DR. PARRALES</t>
  </si>
  <si>
    <t>CANTIDAD</t>
  </si>
  <si>
    <t>Fecha de elaboración:</t>
  </si>
  <si>
    <t xml:space="preserve">Vigente hasta: </t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</si>
  <si>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</si>
  <si>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</si>
  <si>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</si>
  <si>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</si>
  <si>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</si>
  <si>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</si>
  <si>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</si>
  <si>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</si>
  <si>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</si>
  <si>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</si>
  <si>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</si>
  <si>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</si>
  <si>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</si>
  <si>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</si>
  <si>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</si>
  <si>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</si>
  <si>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</si>
  <si>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</si>
  <si>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</si>
  <si>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</si>
  <si>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</si>
  <si>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</si>
  <si>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</si>
  <si>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</si>
  <si>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</si>
  <si>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BROCAS 1.8</t>
  </si>
  <si>
    <t>SEPARADORES MINIHOMMAN FINOS</t>
  </si>
  <si>
    <t>PINES</t>
  </si>
  <si>
    <t>INSRUMENTADOR</t>
  </si>
  <si>
    <t xml:space="preserve">10:00AM </t>
  </si>
  <si>
    <t>INSTRUMENTAL 3.5 IRENE # 4</t>
  </si>
  <si>
    <t>DESCRIPCION</t>
  </si>
  <si>
    <t>BANDEJA SUPERIOR</t>
  </si>
  <si>
    <t>SEPARADORES MINIHOMMAN FINOS ANCHOS</t>
  </si>
  <si>
    <t>SEPARADORES SENMILLER</t>
  </si>
  <si>
    <t>TREFINA ANCLAJE RAPIDO</t>
  </si>
  <si>
    <t>ATORNILLADOR 3.5 STARDRIVER</t>
  </si>
  <si>
    <t xml:space="preserve">MANGO CAFE ANCLAJE RAPIDO </t>
  </si>
  <si>
    <t>MANGO EN T ANCLAJE RAPIDO</t>
  </si>
  <si>
    <t>DOBLADORES DE PLACAS</t>
  </si>
  <si>
    <t>AVELLANADOR EN T</t>
  </si>
  <si>
    <t>MEDIDOR DE PROFUNDIDAD 3.5</t>
  </si>
  <si>
    <t>MACHUELO ANCLAJE RAPIDO</t>
  </si>
  <si>
    <t>ATORNILLADOR ANCLAJE RAPIDO HEXAGONAL</t>
  </si>
  <si>
    <t>GUIA DOBLE 2.5/3.5</t>
  </si>
  <si>
    <t>GUIA EXCENTRICA Y CENTRICA 2.5/3.5</t>
  </si>
  <si>
    <t>GUIAS DE BLOQUEO</t>
  </si>
  <si>
    <t>ATORNILLADORES ANCLAJE RAPIDO STARDRIVER</t>
  </si>
  <si>
    <t>LLAVE HEXAGONAL</t>
  </si>
  <si>
    <t>BROCAS 2.8 CON TOPE</t>
  </si>
  <si>
    <t>BROCAS 2.5</t>
  </si>
  <si>
    <t>BROCA 3.2</t>
  </si>
  <si>
    <t>BROCA 3.5</t>
  </si>
  <si>
    <t xml:space="preserve">PINES </t>
  </si>
  <si>
    <t>BANDEJA INFERIOR</t>
  </si>
  <si>
    <t>MANGO TORQUE 1.5N.m AZUL</t>
  </si>
  <si>
    <t>PINZA VERBRUGUER PEQUEÑA</t>
  </si>
  <si>
    <t>PINZAS REDUCTORAS CANGREJO ARANDELA PEQUEÑAS</t>
  </si>
  <si>
    <t>PINZA REDUCTORA ESPAÑOLA CREMALLERA</t>
  </si>
  <si>
    <t>PINZA EN PUNTA CREMALLERA</t>
  </si>
  <si>
    <t>ATORNILLADOR HEXAGONAL 3.5 CON CAMISA</t>
  </si>
  <si>
    <t>DISECTOR DE COOB</t>
  </si>
  <si>
    <t>DESPERIO CURVO</t>
  </si>
  <si>
    <t>CURETA</t>
  </si>
  <si>
    <t>PINZA VERBRUGUER GRANDE</t>
  </si>
  <si>
    <t>PINZAS REDUCTORAS CANGREJO ARANDELA GRANDES</t>
  </si>
  <si>
    <t>GUBIA</t>
  </si>
  <si>
    <t>SEPARADORES HOMMAN FINOS</t>
  </si>
  <si>
    <t>SEPARADORES HOMMAN FINOS LARGOS</t>
  </si>
  <si>
    <t>OSTEOTOMO FINO</t>
  </si>
  <si>
    <t>102.212</t>
  </si>
  <si>
    <t>210733721</t>
  </si>
  <si>
    <t xml:space="preserve">TORNILLO CORTICAL 3.5*12mm ACERO </t>
  </si>
  <si>
    <t>102.214</t>
  </si>
  <si>
    <t>220344216</t>
  </si>
  <si>
    <t xml:space="preserve">TORNILLO CORTICAL 3.5*14mm ACERO </t>
  </si>
  <si>
    <t>102.216</t>
  </si>
  <si>
    <t>211038700</t>
  </si>
  <si>
    <t xml:space="preserve">TORNILLO CORTICAL 3.5*16mm ACERO </t>
  </si>
  <si>
    <t>102.218</t>
  </si>
  <si>
    <t xml:space="preserve">TORNILLO CORTICAL 3.5*18mm ACERO </t>
  </si>
  <si>
    <t>102.220</t>
  </si>
  <si>
    <t>200112147</t>
  </si>
  <si>
    <t xml:space="preserve">TORNILLO CORTICAL 3.5*20mm ACERO </t>
  </si>
  <si>
    <t>102.222</t>
  </si>
  <si>
    <t>191210360</t>
  </si>
  <si>
    <t xml:space="preserve">TORNILLO CORTICAL 3.5*22mm ACERO </t>
  </si>
  <si>
    <t>102.224</t>
  </si>
  <si>
    <t>191210361</t>
  </si>
  <si>
    <t xml:space="preserve">TORNILLO CORTICAL 3.5*24mm ACERO </t>
  </si>
  <si>
    <t>102.226</t>
  </si>
  <si>
    <t xml:space="preserve">TORNILLO CORTICAL 3.5*26mm ACERO </t>
  </si>
  <si>
    <t>102.228</t>
  </si>
  <si>
    <t>211240944</t>
  </si>
  <si>
    <t xml:space="preserve">TORNILLO CORTICAL 3.5*28mm ACERO </t>
  </si>
  <si>
    <t>102.230</t>
  </si>
  <si>
    <t xml:space="preserve">TORNILLO CORTICAL 3.5*30mm ACERO </t>
  </si>
  <si>
    <t>102.232</t>
  </si>
  <si>
    <t xml:space="preserve">TORNILLO CORTICAL 3.5*32mm ACERO </t>
  </si>
  <si>
    <t>102.234</t>
  </si>
  <si>
    <t xml:space="preserve">TORNILLO CORTICAL 3.5*34mm ACERO </t>
  </si>
  <si>
    <t>102.236</t>
  </si>
  <si>
    <t>211140093</t>
  </si>
  <si>
    <t xml:space="preserve">TORNILLO CORTICAL 3.5*36mm ACERO </t>
  </si>
  <si>
    <t>102.238</t>
  </si>
  <si>
    <t xml:space="preserve">TORNILLO CORTICAL 3.5*38mm ACERO </t>
  </si>
  <si>
    <t>102.240</t>
  </si>
  <si>
    <t>210228500</t>
  </si>
  <si>
    <t xml:space="preserve">TORNILLO CORTICAL 3.5*40mm ACERO </t>
  </si>
  <si>
    <t>102.242</t>
  </si>
  <si>
    <t>201225757</t>
  </si>
  <si>
    <t xml:space="preserve">TORNILLO CORTICAL 3.5*42mm ACERO </t>
  </si>
  <si>
    <t>102.244</t>
  </si>
  <si>
    <t>201225758</t>
  </si>
  <si>
    <t xml:space="preserve">TORNILLO CORTICAL 3.5*44mm ACERO </t>
  </si>
  <si>
    <t>102.246</t>
  </si>
  <si>
    <t>210330220</t>
  </si>
  <si>
    <t xml:space="preserve">TORNILLO CORTICAL 3.5*46mm ACERO </t>
  </si>
  <si>
    <t>102.248</t>
  </si>
  <si>
    <t>210733736</t>
  </si>
  <si>
    <t xml:space="preserve">TORNILLO CORTICAL 3.5*48mm ACERO </t>
  </si>
  <si>
    <t>102.250</t>
  </si>
  <si>
    <t>210733737</t>
  </si>
  <si>
    <t xml:space="preserve">TORNILLO CORTICAL 3.5*50mm ACERO </t>
  </si>
  <si>
    <t>102.252</t>
  </si>
  <si>
    <t>210734296</t>
  </si>
  <si>
    <t xml:space="preserve">TORNILLO CORTICAL 3.5*52mm ACERO </t>
  </si>
  <si>
    <t>102.254</t>
  </si>
  <si>
    <t>210733739</t>
  </si>
  <si>
    <t xml:space="preserve">TORNILLO CORTICAL 3.5*54mm ACERO </t>
  </si>
  <si>
    <t>102.256</t>
  </si>
  <si>
    <t>200112565</t>
  </si>
  <si>
    <t xml:space="preserve">TORNILLO CORTICAL 3.5*56mm ACERO </t>
  </si>
  <si>
    <t>102.258</t>
  </si>
  <si>
    <t>200112566</t>
  </si>
  <si>
    <t xml:space="preserve">TORNILLO CORTICAL 3.5*58mm ACERO </t>
  </si>
  <si>
    <t>102.260</t>
  </si>
  <si>
    <t>210733742</t>
  </si>
  <si>
    <t xml:space="preserve">TORNILLO CORTICAL 3.5*60mm ACERO </t>
  </si>
  <si>
    <t>102.264</t>
  </si>
  <si>
    <t xml:space="preserve">TORNILLO CORTICAL 3.5*64mm ACERO </t>
  </si>
  <si>
    <t>SF-102.212</t>
  </si>
  <si>
    <t xml:space="preserve">TORNILLO DE BLOQUEO  3.5*12mm ACERO </t>
  </si>
  <si>
    <t>SF-102.214</t>
  </si>
  <si>
    <t>190805841</t>
  </si>
  <si>
    <t xml:space="preserve">TORNILLO DE BLOQUEO 3.5*14mm ACERO </t>
  </si>
  <si>
    <t>SF-102.216</t>
  </si>
  <si>
    <t>190805843</t>
  </si>
  <si>
    <t xml:space="preserve">TORNILLO DE BLOQUEO 3.5*16mm ACERO </t>
  </si>
  <si>
    <t>SF-102.218</t>
  </si>
  <si>
    <t>190805845</t>
  </si>
  <si>
    <t xml:space="preserve">TORNILLO DE  BLOQUEO 3.5*18mm ACERO </t>
  </si>
  <si>
    <t>SF-102.220</t>
  </si>
  <si>
    <t xml:space="preserve">TORNILLO DE  BLOQUEO 3.5*20mm ACERO </t>
  </si>
  <si>
    <t>SF-102.222</t>
  </si>
  <si>
    <t>190602740</t>
  </si>
  <si>
    <t xml:space="preserve">TORNILLO DE  BLOQUEO 3.5*22mm ACERO </t>
  </si>
  <si>
    <t>SF-102.224</t>
  </si>
  <si>
    <t>190805851</t>
  </si>
  <si>
    <t xml:space="preserve">TORNILLO DE  BLOQUEO 3.5*24mm ACERO </t>
  </si>
  <si>
    <t>SF-102.226</t>
  </si>
  <si>
    <t>190805853</t>
  </si>
  <si>
    <t xml:space="preserve">TORNILLO DE  BLOQUEO 3.5*26mm ACERO </t>
  </si>
  <si>
    <t>SF-102.228</t>
  </si>
  <si>
    <t>190805855</t>
  </si>
  <si>
    <t xml:space="preserve">TORNILLO DE  BLOQUEO 3.5*28mm ACERO </t>
  </si>
  <si>
    <t>SF-102.230</t>
  </si>
  <si>
    <t>190805857</t>
  </si>
  <si>
    <t xml:space="preserve">TORNILLO DE  BLOQUEO 3.5*30mm ACERO </t>
  </si>
  <si>
    <t xml:space="preserve">SF-102.232 </t>
  </si>
  <si>
    <t>190805859</t>
  </si>
  <si>
    <t xml:space="preserve">TORNILLO DE  BLOQUEO 3.5*32mm ACERO </t>
  </si>
  <si>
    <t>SF-102.234</t>
  </si>
  <si>
    <t>190805861</t>
  </si>
  <si>
    <t xml:space="preserve">TORNILLO DE  BLOQUEO 3.5*34mm ACERO </t>
  </si>
  <si>
    <t>SF-102.236</t>
  </si>
  <si>
    <t>190805863</t>
  </si>
  <si>
    <t xml:space="preserve">TORNILLO DE  BLOQUEO 3.5*36mm ACERO </t>
  </si>
  <si>
    <t>SF-102.238</t>
  </si>
  <si>
    <t>190805865</t>
  </si>
  <si>
    <t xml:space="preserve">TORNILLO DE  BLOQUEO 3.5*38mm ACERO </t>
  </si>
  <si>
    <t>SF-102.240</t>
  </si>
  <si>
    <t>190602744</t>
  </si>
  <si>
    <t xml:space="preserve">TORNILLO DE  BLOQUEO 3.5*40mm ACERO </t>
  </si>
  <si>
    <t>SF-102.242</t>
  </si>
  <si>
    <t>190602745</t>
  </si>
  <si>
    <t xml:space="preserve">TORNILLO DE  BLOQUEO 3.5*42mm ACERO </t>
  </si>
  <si>
    <t>SF-102.244</t>
  </si>
  <si>
    <t>190805870</t>
  </si>
  <si>
    <t xml:space="preserve">TORNILLO DE  BLOQUEO 3.5*44mm ACERO </t>
  </si>
  <si>
    <t>SF-102.246</t>
  </si>
  <si>
    <t>200111920</t>
  </si>
  <si>
    <t xml:space="preserve">TORNILLO DE  BLOQUEO 3.5*46mm ACERO </t>
  </si>
  <si>
    <t>SF-102.248</t>
  </si>
  <si>
    <t>200111929</t>
  </si>
  <si>
    <t xml:space="preserve">TORNILLO DE  BLOQUEO 3.5*48mm ACERO </t>
  </si>
  <si>
    <t>SF-102.250</t>
  </si>
  <si>
    <t>210936621</t>
  </si>
  <si>
    <t xml:space="preserve">TORNILLO DE  BLOQUEO 3.5*50mm ACERO </t>
  </si>
  <si>
    <t>SF-102.252</t>
  </si>
  <si>
    <t xml:space="preserve">TORNILLO DE  BLOQUEO 3.5*52mm ACERO </t>
  </si>
  <si>
    <t>SF-102.254</t>
  </si>
  <si>
    <t>190805880</t>
  </si>
  <si>
    <t xml:space="preserve">TORNILLO DE  BLOQUEO 3.5*54mm ACERO </t>
  </si>
  <si>
    <t>SF-102.256</t>
  </si>
  <si>
    <t>201123927</t>
  </si>
  <si>
    <t xml:space="preserve">TORNILLO DE  BLOQUEO 3.5*56mm ACERO </t>
  </si>
  <si>
    <t>SF-102.258</t>
  </si>
  <si>
    <t>210936623</t>
  </si>
  <si>
    <t xml:space="preserve">TORNILLO DE  BLOQUEO 3.5*58mm ACERO </t>
  </si>
  <si>
    <t>SF-102.260</t>
  </si>
  <si>
    <t>210936624</t>
  </si>
  <si>
    <t xml:space="preserve">TORNILLO DE  BLOQUEO 3.5*60mm ACERO </t>
  </si>
  <si>
    <t>103.020</t>
  </si>
  <si>
    <t>200112156</t>
  </si>
  <si>
    <t xml:space="preserve">TORNILLO ESPONJOSO 4.0*20mm  ACERO </t>
  </si>
  <si>
    <t>103.026</t>
  </si>
  <si>
    <t>210126791</t>
  </si>
  <si>
    <t xml:space="preserve">TORNILLO ESPONJOSO 4.0*26mm  ACERO </t>
  </si>
  <si>
    <t>103.030</t>
  </si>
  <si>
    <t>201023210</t>
  </si>
  <si>
    <t xml:space="preserve">TORNILLO ESPONJOSO 4.0*30mm  ACERO </t>
  </si>
  <si>
    <t>103.035</t>
  </si>
  <si>
    <t>211240779</t>
  </si>
  <si>
    <t>TORNILLO ESPONJOSO 4.0*35mm ACERO</t>
  </si>
  <si>
    <t>103.040</t>
  </si>
  <si>
    <t>211240780</t>
  </si>
  <si>
    <t>TORNILLO ESPONJOSO 4.0*40mm ACERO</t>
  </si>
  <si>
    <t>103.045</t>
  </si>
  <si>
    <t>TORNILLO ESPONJOSO 4.0*45mm ACERO</t>
  </si>
  <si>
    <t>103.050</t>
  </si>
  <si>
    <t>TORNILLO ESPONJOSO 3.5*50mm ACERO</t>
  </si>
  <si>
    <t>103.055</t>
  </si>
  <si>
    <t>TORNILLO ESPONJOSO 4.0*55mm ACERO</t>
  </si>
  <si>
    <t>103.060</t>
  </si>
  <si>
    <t>201023219</t>
  </si>
  <si>
    <t>TORNILLO ESPONJOSO 4.0*60mm ACERO</t>
  </si>
  <si>
    <t>115.030</t>
  </si>
  <si>
    <t>220445447</t>
  </si>
  <si>
    <t>ARANDELA 3.5mm ACERO</t>
  </si>
  <si>
    <t>100S.212</t>
  </si>
  <si>
    <t>200518258</t>
  </si>
  <si>
    <t>TORNILLO CORTICAL 2.4*12mm ACERO</t>
  </si>
  <si>
    <t>100S.214</t>
  </si>
  <si>
    <t>210126753</t>
  </si>
  <si>
    <t>TORNILLO CORTICAL 2.4*14mm ACERO</t>
  </si>
  <si>
    <t>100S.216</t>
  </si>
  <si>
    <t>TORNILLO CORTICAL 2.4*16mm ACERO</t>
  </si>
  <si>
    <t>100S.218</t>
  </si>
  <si>
    <t>201124284</t>
  </si>
  <si>
    <t>TORNILLO CORTICAL 2.4*18mm ACERO</t>
  </si>
  <si>
    <t>100S.220</t>
  </si>
  <si>
    <t>200518262</t>
  </si>
  <si>
    <t>TORNILLO CORTICAL 2.4*20mm ACERO</t>
  </si>
  <si>
    <t>100S.222</t>
  </si>
  <si>
    <t>200518263</t>
  </si>
  <si>
    <t>TORNILLO CORTICAL 2.4*22mm ACERO</t>
  </si>
  <si>
    <t>100S.224</t>
  </si>
  <si>
    <t>TORNILLO CORTICAL 2.4*24mm ACERO</t>
  </si>
  <si>
    <t>SF-100V.212</t>
  </si>
  <si>
    <t>201225242</t>
  </si>
  <si>
    <t>TORNILLO DE BLOQUEO 2.4*12mm ACERO</t>
  </si>
  <si>
    <t>SF-100V.214</t>
  </si>
  <si>
    <t>TORNILLO DE BLOQUEO 2.4*14mm ACERO</t>
  </si>
  <si>
    <t>SF-100V.216</t>
  </si>
  <si>
    <t>201124042</t>
  </si>
  <si>
    <t>TORNILLO DE BLOQUEO 2.4*16mm ACERO</t>
  </si>
  <si>
    <t>SF-100V.218</t>
  </si>
  <si>
    <t>220546013</t>
  </si>
  <si>
    <t>TORNILLO DE BLOQUEO 2.4*18mm ACERO</t>
  </si>
  <si>
    <t>SF-100V.220</t>
  </si>
  <si>
    <t>220546885</t>
  </si>
  <si>
    <t>TORNILLO DE BLOQUEO 2.4*20mm ACERO</t>
  </si>
  <si>
    <t>SF-100V.222</t>
  </si>
  <si>
    <t>201215587</t>
  </si>
  <si>
    <t xml:space="preserve">TORNILLO DE BLOQUEO 2.4*22mm ACERO </t>
  </si>
  <si>
    <t>SF-100V.224</t>
  </si>
  <si>
    <t>201225588</t>
  </si>
  <si>
    <t xml:space="preserve">TORNILLO DE BLOQUEO 2.4*24mm ACERO </t>
  </si>
  <si>
    <t>SF-100V.226</t>
  </si>
  <si>
    <t>201225589</t>
  </si>
  <si>
    <t xml:space="preserve">TORNILLO DE BLOQUEO 2.4*26mm ACERO </t>
  </si>
  <si>
    <t>SF-100V.228</t>
  </si>
  <si>
    <t>201225590</t>
  </si>
  <si>
    <t xml:space="preserve">TORNILLO DE BLOQUEO 2.4*28mm ACERO </t>
  </si>
  <si>
    <t xml:space="preserve"> INSTRUMENTAL TORNILLERIA 2.4/2.7 ACERO # 1 </t>
  </si>
  <si>
    <t>MANGO ATORNILLADOR TORQUE</t>
  </si>
  <si>
    <t>GUIA DE BLOQUEO DE 1.8MM</t>
  </si>
  <si>
    <t>GUIA DE BLOQUEO DE 2.0MM</t>
  </si>
  <si>
    <t>CAMISA PARA ATORNILLADOR</t>
  </si>
  <si>
    <t>MEDIDOR DE PROFUNDIDAD</t>
  </si>
  <si>
    <t>ATORNILLADOR ANCLAJE RAPIDO CORTO</t>
  </si>
  <si>
    <t>ATORNILLADOR ANCLAJE RAPIDO LARGO</t>
  </si>
  <si>
    <t>BROCAS 2.0 CORTA</t>
  </si>
  <si>
    <t>BROCA 2.0 LARGA</t>
  </si>
  <si>
    <t xml:space="preserve">GUIA DE ANGULO VARIABLE </t>
  </si>
  <si>
    <t>GUIA DE BROCA 1.8/2.4</t>
  </si>
  <si>
    <t>ADAPTADOR TORQUE ANCLAJE RAPIDO 0.8 N.m</t>
  </si>
  <si>
    <t>SF-652.03R</t>
  </si>
  <si>
    <t>210127048</t>
  </si>
  <si>
    <t>PLACA BLOQ. PERONE 2.7/3.5mm*3 ORIF. DER. ACERO</t>
  </si>
  <si>
    <t>SF-652.04R</t>
  </si>
  <si>
    <t>210127049</t>
  </si>
  <si>
    <t>PLACA BLOQ. PERONE 2.7/3.5mm*4 ORIF. DER. ACERO</t>
  </si>
  <si>
    <t>SF-652.05R</t>
  </si>
  <si>
    <t>210127050</t>
  </si>
  <si>
    <t>PLACA BLOQ. PERONE 2.7/3.5mm*5 ORIF. DER. ACERO</t>
  </si>
  <si>
    <t>SF-652.06R</t>
  </si>
  <si>
    <t>210127051</t>
  </si>
  <si>
    <t>PLACA BLOQ. PERONE 2.7/3.5mm*6 ORIF. DER. ACERO</t>
  </si>
  <si>
    <t>SF-652.07R</t>
  </si>
  <si>
    <t>201023457</t>
  </si>
  <si>
    <t>PLACA BLOQ. PERONE 2.7/3.5mm*7 ORIF. DER. ACERO</t>
  </si>
  <si>
    <t>SF-652.03L</t>
  </si>
  <si>
    <t>PLACA BLOQ. PERONE 2.7/3.5mm*3 ORIF. IZQ. ACERO</t>
  </si>
  <si>
    <t>SF-652.04L</t>
  </si>
  <si>
    <t>PLACA BLOQ. PERONE 2.7/3.5mm*4 ORIF. IZQ. ACERO</t>
  </si>
  <si>
    <t>SF-652.05L</t>
  </si>
  <si>
    <t>PLACA BLOQ. PERONE 2.7/3.5mm*5 ORIF. IZQ. ACERO</t>
  </si>
  <si>
    <t>SF-652.06L</t>
  </si>
  <si>
    <t>PLACA BLOQ. PERONE 2.7/3.5mm*6 ORIF. IZQ. ACERO</t>
  </si>
  <si>
    <t>SF-652.07L</t>
  </si>
  <si>
    <t>PLACA BLOQ. PERONE 2.7/3.5mm*7 ORIF.   IZQ. ACERO</t>
  </si>
  <si>
    <t>SF-138.106</t>
  </si>
  <si>
    <t>20032775</t>
  </si>
  <si>
    <t>PLACA BLOQ. 1/3 CAÑA 3.5mm*6 ORIF. ACERO</t>
  </si>
  <si>
    <t>SF-138.107</t>
  </si>
  <si>
    <t>19011499</t>
  </si>
  <si>
    <t>PLACA BLOQ. 1/3 CAÑA 3.5mm*7 ORIF. ACERO</t>
  </si>
  <si>
    <t>SF-138.108</t>
  </si>
  <si>
    <t>20027619</t>
  </si>
  <si>
    <t>PLACA BLOQ. 1/3 CAÑA 3.5mm*8 ORIF. ACERO</t>
  </si>
  <si>
    <t>SF-138.109</t>
  </si>
  <si>
    <t>PLACA BLOQ. 1/3 CAÑA 3.5mm*9 ORIF. ACERO</t>
  </si>
  <si>
    <t>SF-138.110</t>
  </si>
  <si>
    <t>PLACA BLOQ. 1/3 CAÑA 3.5mm*10 ORIF. ACERO</t>
  </si>
  <si>
    <t>SF-138.111</t>
  </si>
  <si>
    <t>20G32777</t>
  </si>
  <si>
    <t>PLACA BLOQ. 1/3 CAÑA 3.5mm*11 ORIF. ACERO</t>
  </si>
  <si>
    <t>SF-645.04R</t>
  </si>
  <si>
    <t>PLACA BLOQ. TIBIA DISTAL MEDIAL 3.5mm*4 ORIF. DER ACERO</t>
  </si>
  <si>
    <t>SF-645.06R</t>
  </si>
  <si>
    <t>PLACA BLOQ. TIBIA DISTAL MEDIAL 3.5mm*6 ORIF. DER ACERO</t>
  </si>
  <si>
    <t>SF-645.08R</t>
  </si>
  <si>
    <t>220243235</t>
  </si>
  <si>
    <t>PLACA BLOQ. TIBIA DISTAL MEDIAL 3.5mm*8 ORIF. DER ACERO</t>
  </si>
  <si>
    <t>SF-645.10R</t>
  </si>
  <si>
    <t>210329194</t>
  </si>
  <si>
    <t>PLACA BLOQ. TIBIA DISTAL MEDIAL 3.5mm*10 ORIF. DER ACERO</t>
  </si>
  <si>
    <t>SF-645.12R</t>
  </si>
  <si>
    <t>210835470</t>
  </si>
  <si>
    <t>PLACA BLOQ. TIBIA DISTAL MEDIAL 3.5mm*12 ORIF. DER ACERO</t>
  </si>
  <si>
    <t>SF-645.14R</t>
  </si>
  <si>
    <t>210937002</t>
  </si>
  <si>
    <t>PLACA BLOQ. TIBIA DISTAL MEDIAL 3.5mm*14 ORIF. DER ACERO</t>
  </si>
  <si>
    <t>SF-645.04L</t>
  </si>
  <si>
    <t>210329494</t>
  </si>
  <si>
    <t>PLACA BLOQ. TIBIA DISTAL MEDIAL 3.5mm*4 ORIF. IZQ ACERO</t>
  </si>
  <si>
    <t>SF-645.05L</t>
  </si>
  <si>
    <t>15351</t>
  </si>
  <si>
    <t>PLACA BLOQ. TIBIA DISTAL MEDIAL 3.5mm*5 ORIF. IZQ ACERO</t>
  </si>
  <si>
    <t>SF-645.06L</t>
  </si>
  <si>
    <t>210430926</t>
  </si>
  <si>
    <t>PLACA BLOQ. TIBIA DISTAL MEDIAL 3.5mm*6 ORIF. IZQ ACERO</t>
  </si>
  <si>
    <t>SF-645.08L</t>
  </si>
  <si>
    <t>210430755</t>
  </si>
  <si>
    <t>PLACA BLOQ. TIBIA DISTAL MEDIAL 3.5mm*8 ORIF. IZQ ACERO</t>
  </si>
  <si>
    <t>SF-645.10L</t>
  </si>
  <si>
    <t>210126727</t>
  </si>
  <si>
    <t>PLACA BLOQ. TIBIA DISTAL MEDIAL 3.5mm*10 ORIF. IZQ ACERO</t>
  </si>
  <si>
    <t>SF-645.12L</t>
  </si>
  <si>
    <t>210835465</t>
  </si>
  <si>
    <t>PLACA BLOQ. TIBIA DISTAL MEDIAL 3.5mm*12 ORIF. IZQ ACERO</t>
  </si>
  <si>
    <t>SF-645.14L</t>
  </si>
  <si>
    <t>210835466</t>
  </si>
  <si>
    <t>PLACA BLOQ. TIBIA DISTAL MEDIAL 3.5mm*14 ORIF. IZQ ACERO</t>
  </si>
  <si>
    <t>SF-650.05R</t>
  </si>
  <si>
    <t>210936668</t>
  </si>
  <si>
    <t>PLACA BLOQ. TIBIA DISTAL ANTEROLATERAL 3.5mm*5 ORIF. DER ACERO</t>
  </si>
  <si>
    <t>SF-650.07R</t>
  </si>
  <si>
    <t>210936669</t>
  </si>
  <si>
    <t>PLACA BLOQ. TIBIA DISTAL ANTEROLATERAL 3.5mm*7 ORIF. DER ACERO</t>
  </si>
  <si>
    <t>SF-650.09R</t>
  </si>
  <si>
    <t>210936670</t>
  </si>
  <si>
    <t>PLACA BLOQ. TIBIA DISTAL ANTEROLATERAL 3.5mm*9 ORIF. DER ACERO</t>
  </si>
  <si>
    <t>SF-650.11R</t>
  </si>
  <si>
    <t>210936671</t>
  </si>
  <si>
    <t>PLACA BLOQ. TIBIA DISTAL ANTEROLATERAL 3.5mm*11 ORIF. DER ACERO</t>
  </si>
  <si>
    <t>SF-650.13R</t>
  </si>
  <si>
    <t>210936672</t>
  </si>
  <si>
    <t>PLACA BLOQ. TIBIA DISTAL ANTEROLATERAL 3.5mm*13 ORIF. DER ACERO</t>
  </si>
  <si>
    <t>SF-650.15R</t>
  </si>
  <si>
    <t>210430406</t>
  </si>
  <si>
    <t>PLACA BLOQ. TIBIA DISTAL ANTEROLATERAL 3.5mm*15 ORIF. DER ACERO</t>
  </si>
  <si>
    <t>SF-650.17R</t>
  </si>
  <si>
    <t>211240541</t>
  </si>
  <si>
    <t>PLACA BLOQ. TIBIA DISTAL ANTEROLATERAL 3.5mm*17 ORIF. DER ACERO</t>
  </si>
  <si>
    <t>SF-650.19R</t>
  </si>
  <si>
    <t>210228218</t>
  </si>
  <si>
    <t>PLACA BLOQ. TIBIA DISTAL ANTEROLATERAL 3.5mm*19 ORIF. DER ACERO</t>
  </si>
  <si>
    <t>SF-650.21R</t>
  </si>
  <si>
    <t>210228219</t>
  </si>
  <si>
    <t>PLACA BLOQ. TIBIA DISTAL ANTEROLATERAL 3.5mm*21 ORIF. DER ACERO</t>
  </si>
  <si>
    <t>SF-650.05L</t>
  </si>
  <si>
    <t>210936663</t>
  </si>
  <si>
    <t>PLACA BLOQ. TIBIA DISTAL ANTEROLATERAL 3.5mm*5 ORIF. IZQ ACERO</t>
  </si>
  <si>
    <t>SF-650.07L</t>
  </si>
  <si>
    <t>220243655</t>
  </si>
  <si>
    <t>PLACA BLOQ. TIBIA DISTAL ANTEROLATERAL 3.5mm*7 ORIF. IZQ ACERO</t>
  </si>
  <si>
    <t>SF-650.09L</t>
  </si>
  <si>
    <t>210936665</t>
  </si>
  <si>
    <t>PLACA BLOQ. TIBIA DISTAL ANTEROLATERAL 3.5mm*9 ORIF. IZQ ACERO</t>
  </si>
  <si>
    <t>SF-650.11L</t>
  </si>
  <si>
    <t>210228206</t>
  </si>
  <si>
    <t>PLACA BLOQ. TIBIA DISTAL ANTEROLATERAL 3.5mm*11 ORIF. IZQ ACERO</t>
  </si>
  <si>
    <t>SF-650.13L</t>
  </si>
  <si>
    <t>210936667</t>
  </si>
  <si>
    <t>PLACA BLOQ. TIBIA DISTAL ANTEROLATERAL 3.5mm*13 ORIF. IZQ ACERO</t>
  </si>
  <si>
    <t>SF-650.15L</t>
  </si>
  <si>
    <t>210733868</t>
  </si>
  <si>
    <t>PLACA BLOQ. TIBIA DISTAL ANTEROLATERAL 3.5mm*15 ORIF. IZQ ACERO</t>
  </si>
  <si>
    <t>SF-650.17L</t>
  </si>
  <si>
    <t>210734671</t>
  </si>
  <si>
    <t>PLACA BLOQ. TIBIA DISTAL ANTEROLATERAL 3.5mm*17 ORIF. IZQ ACERO</t>
  </si>
  <si>
    <t>SF-650.19L</t>
  </si>
  <si>
    <t>210228209</t>
  </si>
  <si>
    <t>PLACA BLOQ. TIBIA DISTAL ANTEROLATERAL 3.5mm*19 ORIF. IZQ ACERO</t>
  </si>
  <si>
    <t>SF-650.21L</t>
  </si>
  <si>
    <t>210228210</t>
  </si>
  <si>
    <t>PLACA BLOQ. TIBIA DISTAL ANTEROLATERAL 3.5mm*21 ORIF. IZQ ACERO</t>
  </si>
  <si>
    <t>BATERIAS GRIS  # 8 # 9</t>
  </si>
  <si>
    <t>MOTOR NEGRO #6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</si>
</sst>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6" tint="0.59999389629810485"/>
        <bgColor indexed="0"/>
      </patternFill>
    </fill>
    <fill>
      <patternFill patternType="solid">
        <fgColor theme="0"/>
        <bgColor theme="4" tint="0.79998168889431442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44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 wrapText="1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8" borderId="1" xfId="0" applyFont="1" applyFill="1" applyBorder="1" applyAlignment="1" applyProtection="1">
      <alignment horizontal="center" wrapText="1" readingOrder="1"/>
      <protection locked="0"/>
    </xf>
    <xf numFmtId="0" fontId="25" fillId="8" borderId="1" xfId="0" applyFont="1" applyFill="1" applyBorder="1" applyAlignment="1" applyProtection="1">
      <alignment horizontal="center" vertic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1" fillId="0" borderId="1" xfId="0" applyFont="1" applyBorder="1" applyAlignment="1">
      <alignment horizontal="center"/>
    </xf>
    <xf numFmtId="0" fontId="1" fillId="2" borderId="1" xfId="0" applyFont="1" applyFill="1" applyBorder="1"/>
    <xf numFmtId="0" fontId="1" fillId="7" borderId="1" xfId="0" applyFont="1" applyFill="1" applyBorder="1"/>
    <xf numFmtId="0" fontId="1" fillId="0" borderId="1" xfId="0" applyFont="1" applyBorder="1" applyAlignment="1">
      <alignment wrapText="1"/>
    </xf>
    <xf numFmtId="0" fontId="19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0" fontId="26" fillId="0" borderId="1" xfId="0" applyFont="1" applyBorder="1" applyAlignment="1" applyProtection="1">
      <alignment horizontal="left" readingOrder="1"/>
      <protection locked="0"/>
    </xf>
    <xf numFmtId="0" fontId="19" fillId="0" borderId="1" xfId="1" applyFont="1" applyBorder="1" applyAlignment="1">
      <alignment horizontal="center"/>
    </xf>
    <xf numFmtId="0" fontId="1" fillId="0" borderId="1" xfId="0" applyFont="1" applyBorder="1"/>
    <xf numFmtId="0" fontId="26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169" fontId="19" fillId="0" borderId="0" xfId="1" applyNumberFormat="1" applyFont="1" applyAlignment="1">
      <alignment wrapText="1"/>
    </xf>
    <xf numFmtId="0" fontId="26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26" fillId="0" borderId="0" xfId="0" applyFont="1" applyAlignment="1" applyProtection="1">
      <alignment wrapText="1" readingOrder="1"/>
      <protection locked="0"/>
    </xf>
    <xf numFmtId="164" fontId="26" fillId="0" borderId="0" xfId="7" applyFont="1" applyBorder="1"/>
    <xf numFmtId="0" fontId="1" fillId="0" borderId="0" xfId="0" applyFont="1" applyAlignment="1" applyProtection="1">
      <alignment wrapText="1" readingOrder="1"/>
      <protection locked="0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169" fontId="1" fillId="0" borderId="1" xfId="12" applyNumberFormat="1" applyFont="1" applyBorder="1" applyAlignment="1">
      <alignment horizontal="right"/>
    </xf>
    <xf numFmtId="169" fontId="19" fillId="0" borderId="0" xfId="12" applyNumberFormat="1" applyFont="1" applyBorder="1" applyAlignment="1"/>
    <xf numFmtId="0" fontId="1" fillId="0" borderId="3" xfId="0" applyFont="1" applyBorder="1"/>
    <xf numFmtId="0" fontId="1" fillId="0" borderId="0" xfId="0" applyFont="1"/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>
      <alignment vertical="center"/>
    </xf>
    <xf numFmtId="0" fontId="9" fillId="0" borderId="0" xfId="0" applyFont="1" applyAlignment="1">
      <alignment horizontal="left"/>
    </xf>
    <xf numFmtId="0" fontId="0" fillId="0" borderId="0" xfId="0" applyAlignment="1">
      <alignment horizontal="left"/>
    </xf>
    <xf numFmtId="0" fontId="24" fillId="0" borderId="0" xfId="0" applyFont="1" applyAlignment="1">
      <alignment horizontal="center"/>
    </xf>
    <xf numFmtId="0" fontId="27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1" fillId="0" borderId="1" xfId="0" applyFont="1" applyBorder="1" applyAlignment="1">
      <alignment horizontal="left"/>
    </xf>
    <xf numFmtId="0" fontId="7" fillId="2" borderId="1" xfId="0" applyFont="1" applyFill="1" applyBorder="1" applyAlignment="1">
      <alignment horizontal="left"/>
    </xf>
    <xf numFmtId="49" fontId="12" fillId="2" borderId="1" xfId="0" applyNumberFormat="1" applyFont="1" applyFill="1" applyBorder="1" applyAlignment="1">
      <alignment horizontal="center"/>
    </xf>
    <xf numFmtId="49" fontId="12" fillId="5" borderId="1" xfId="0" applyNumberFormat="1" applyFont="1" applyFill="1" applyBorder="1" applyAlignment="1">
      <alignment horizontal="center"/>
    </xf>
    <xf numFmtId="1" fontId="7" fillId="2" borderId="1" xfId="0" applyNumberFormat="1" applyFont="1" applyFill="1" applyBorder="1" applyAlignment="1">
      <alignment horizontal="center"/>
    </xf>
    <xf numFmtId="1" fontId="7" fillId="2" borderId="1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1" fontId="6" fillId="2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left"/>
    </xf>
    <xf numFmtId="49" fontId="7" fillId="2" borderId="1" xfId="0" applyNumberFormat="1" applyFont="1" applyFill="1" applyBorder="1" applyAlignment="1">
      <alignment horizontal="center"/>
    </xf>
    <xf numFmtId="49" fontId="12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49" fontId="12" fillId="0" borderId="11" xfId="0" applyNumberFormat="1" applyFont="1" applyBorder="1" applyAlignment="1">
      <alignment horizontal="center"/>
    </xf>
    <xf numFmtId="49" fontId="12" fillId="0" borderId="12" xfId="0" applyNumberFormat="1" applyFont="1" applyBorder="1" applyAlignment="1">
      <alignment horizontal="center"/>
    </xf>
    <xf numFmtId="49" fontId="12" fillId="0" borderId="4" xfId="0" applyNumberFormat="1" applyFont="1" applyBorder="1" applyAlignment="1">
      <alignment horizontal="center"/>
    </xf>
    <xf numFmtId="49" fontId="12" fillId="2" borderId="11" xfId="0" applyNumberFormat="1" applyFont="1" applyFill="1" applyBorder="1" applyAlignment="1">
      <alignment horizontal="center"/>
    </xf>
    <xf numFmtId="49" fontId="12" fillId="2" borderId="12" xfId="0" applyNumberFormat="1" applyFont="1" applyFill="1" applyBorder="1" applyAlignment="1">
      <alignment horizontal="center"/>
    </xf>
    <xf numFmtId="49" fontId="12" fillId="2" borderId="4" xfId="0" applyNumberFormat="1" applyFont="1" applyFill="1" applyBorder="1" applyAlignment="1">
      <alignment horizontal="center"/>
    </xf>
    <xf numFmtId="49" fontId="12" fillId="5" borderId="11" xfId="0" applyNumberFormat="1" applyFont="1" applyFill="1" applyBorder="1"/>
    <xf numFmtId="49" fontId="12" fillId="5" borderId="12" xfId="0" applyNumberFormat="1" applyFont="1" applyFill="1" applyBorder="1"/>
    <xf numFmtId="49" fontId="12" fillId="5" borderId="4" xfId="0" applyNumberFormat="1" applyFont="1" applyFill="1" applyBorder="1"/>
    <xf numFmtId="0" fontId="12" fillId="9" borderId="1" xfId="0" applyFont="1" applyFill="1" applyBorder="1" applyAlignment="1">
      <alignment horizontal="center"/>
    </xf>
    <xf numFmtId="0" fontId="12" fillId="2" borderId="1" xfId="0" applyFont="1" applyFill="1" applyBorder="1"/>
    <xf numFmtId="49" fontId="7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left"/>
    </xf>
    <xf numFmtId="49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left"/>
    </xf>
    <xf numFmtId="0" fontId="24" fillId="0" borderId="1" xfId="1" applyFont="1" applyBorder="1" applyAlignment="1">
      <alignment horizontal="center"/>
    </xf>
    <xf numFmtId="0" fontId="12" fillId="0" borderId="1" xfId="1" applyFont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28" fillId="0" borderId="1" xfId="0" applyFont="1" applyBorder="1"/>
    <xf numFmtId="0" fontId="24" fillId="0" borderId="1" xfId="0" applyFont="1" applyBorder="1" applyAlignment="1">
      <alignment horizontal="center"/>
    </xf>
    <xf numFmtId="0" fontId="24" fillId="0" borderId="1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0" xfId="0" applyFont="1" applyBorder="1" applyAlignment="1">
      <alignment horizontal="left"/>
    </xf>
    <xf numFmtId="0" fontId="28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vertical="center"/>
    </xf>
    <xf numFmtId="0" fontId="7" fillId="2" borderId="1" xfId="0" applyFont="1" applyFill="1" applyBorder="1" applyAlignment="1">
      <alignment horizontal="left"/>
    </xf>
    <xf numFmtId="0" fontId="12" fillId="9" borderId="1" xfId="0" applyFont="1" applyFill="1" applyBorder="1"/>
    <xf numFmtId="0" fontId="6" fillId="2" borderId="1" xfId="0" applyFont="1" applyFill="1" applyBorder="1" applyAlignment="1">
      <alignment horizontal="center"/>
    </xf>
    <xf numFmtId="0" fontId="7" fillId="5" borderId="1" xfId="0" applyFont="1" applyFill="1" applyBorder="1"/>
    <xf numFmtId="0" fontId="1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7">
    <cellStyle name="Moneda [0] 2" xfId="9" xr:uid="{00000000-0005-0000-0000-000000000000}"/>
    <cellStyle name="Moneda 10" xfId="15" xr:uid="{62BD1F13-18A0-41E7-9C79-B88E68A1B8C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Moneda 8" xfId="14" xr:uid="{E10CF388-7830-487F-A562-71F614F9D8D4}"/>
    <cellStyle name="Moneda 9" xfId="16" xr:uid="{452DBB11-F4B0-4A87-B6AE-E7EB16E005C7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263"/>
  <sheetViews>
    <sheetView showGridLines="0" tabSelected="1" zoomScale="80" zoomScaleNormal="80" zoomScaleSheetLayoutView="100" zoomScalePageLayoutView="80" workbookViewId="0">
      <pane xSplit="2" ySplit="5" topLeftCell="C265" activePane="bottomRight" state="frozen"/>
      <selection pane="topRight" activeCell="C1" sqref="C1"/>
      <selection pane="bottomLeft" activeCell="A6" sqref="A6"/>
      <selection pane="bottomRight" sqref="A1:E276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7" customWidth="1"/>
    <col min="3" max="3" width="86.7109375" style="36" bestFit="1" customWidth="1"/>
    <col min="4" max="4" width="19.85546875" style="36" customWidth="1"/>
    <col min="5" max="5" width="16.5703125" style="36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14.140625" style="10" bestFit="1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89" t="s">
        <v>24</v>
      </c>
      <c r="D2" s="87" t="s">
        <v>23</v>
      </c>
      <c r="E2" s="87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89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88" t="s">
        <v>25</v>
      </c>
      <c r="D4" s="9" t="s">
        <v>33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88"/>
      <c r="D5" s="9" t="s">
        <v>34</v>
      </c>
      <c r="E5" s="11">
        <v>46075</v>
      </c>
      <c r="F5" s="15"/>
      <c r="G5" s="10"/>
      <c r="H5" s="10"/>
      <c r="I5" s="10"/>
      <c r="J5" s="10"/>
      <c r="K5" s="10"/>
      <c r="L5" s="15"/>
      <c r="M5" s="86"/>
      <c r="N5" s="86"/>
      <c r="O5" s="10"/>
    </row>
    <row r="6" spans="1:15" ht="20.100000000000001" customHeight="1" x14ac:dyDescent="0.25">
      <c r="A6" s="17"/>
      <c r="B6" s="17"/>
      <c r="C6" s="17"/>
      <c r="D6" s="17"/>
      <c r="E6" s="17"/>
      <c r="M6" s="86"/>
      <c r="N6" s="86"/>
    </row>
    <row r="7" spans="1:15" ht="20.100000000000001" customHeight="1" x14ac:dyDescent="0.2">
      <c r="A7" s="18" t="s">
        <v>0</v>
      </c>
      <c r="B7" s="18"/>
      <c r="C7" s="26">
        <v>45048</v>
      </c>
      <c r="D7" s="18" t="s">
        <v>1</v>
      </c>
      <c r="E7" s="19">
        <v>20230500501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90" t="s">
        <v>28</v>
      </c>
      <c r="D9" s="21" t="s">
        <v>3</v>
      </c>
      <c r="E9" s="22"/>
      <c r="M9" s="16"/>
      <c r="N9" s="16"/>
    </row>
    <row r="10" spans="1:15" ht="9" customHeight="1" x14ac:dyDescent="0.25">
      <c r="A10" s="20"/>
      <c r="B10" s="20"/>
      <c r="C10" s="91"/>
      <c r="D10" s="20"/>
      <c r="E10" s="20"/>
      <c r="M10" s="16"/>
      <c r="N10" s="16"/>
    </row>
    <row r="11" spans="1:15" ht="20.100000000000001" customHeight="1" x14ac:dyDescent="0.2">
      <c r="A11" s="84" t="s">
        <v>21</v>
      </c>
      <c r="B11" s="85"/>
      <c r="C11" s="90" t="s">
        <v>28</v>
      </c>
      <c r="D11" s="21" t="s">
        <v>22</v>
      </c>
      <c r="E11" s="24" t="s">
        <v>30</v>
      </c>
      <c r="M11" s="16"/>
      <c r="N11" s="16"/>
    </row>
    <row r="12" spans="1:15" ht="9.75" customHeight="1" x14ac:dyDescent="0.25">
      <c r="A12" s="20"/>
      <c r="B12" s="20"/>
      <c r="C12" s="20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25" t="s">
        <v>29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6">
        <v>45049</v>
      </c>
      <c r="D15" s="21" t="s">
        <v>7</v>
      </c>
      <c r="E15" s="27" t="s">
        <v>64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31</v>
      </c>
      <c r="D17" s="28"/>
      <c r="E17" s="29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/>
      <c r="D19" s="21" t="s">
        <v>19</v>
      </c>
      <c r="E19" s="27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30"/>
      <c r="D21" s="31"/>
      <c r="E21" s="32"/>
      <c r="M21" s="16"/>
      <c r="N21" s="16"/>
    </row>
    <row r="22" spans="1:14" ht="11.25" customHeight="1" x14ac:dyDescent="0.2">
      <c r="A22" s="33"/>
      <c r="B22" s="34"/>
      <c r="C22" s="33"/>
      <c r="D22" s="33"/>
      <c r="E22" s="33"/>
      <c r="G22" s="35"/>
      <c r="H22" s="35"/>
    </row>
    <row r="23" spans="1:14" ht="35.25" customHeight="1" x14ac:dyDescent="0.25">
      <c r="A23" s="39" t="s">
        <v>10</v>
      </c>
      <c r="B23" s="40" t="s">
        <v>11</v>
      </c>
      <c r="C23" s="40" t="s">
        <v>12</v>
      </c>
      <c r="D23" s="40" t="s">
        <v>13</v>
      </c>
      <c r="E23" s="40" t="s">
        <v>14</v>
      </c>
      <c r="F23" s="41" t="s">
        <v>35</v>
      </c>
      <c r="G23" s="42" t="s">
        <v>36</v>
      </c>
    </row>
    <row r="24" spans="1:14" ht="20.100000000000001" customHeight="1" x14ac:dyDescent="0.2">
      <c r="A24" s="99" t="s">
        <v>105</v>
      </c>
      <c r="B24" s="99" t="s">
        <v>106</v>
      </c>
      <c r="C24" s="98" t="s">
        <v>107</v>
      </c>
      <c r="D24" s="101">
        <v>6</v>
      </c>
      <c r="E24" s="43"/>
      <c r="F24" s="44">
        <v>1</v>
      </c>
      <c r="G24" s="44">
        <v>1</v>
      </c>
    </row>
    <row r="25" spans="1:14" ht="20.100000000000001" customHeight="1" x14ac:dyDescent="0.2">
      <c r="A25" s="100" t="s">
        <v>108</v>
      </c>
      <c r="B25" s="100" t="s">
        <v>109</v>
      </c>
      <c r="C25" s="105" t="s">
        <v>110</v>
      </c>
      <c r="D25" s="101">
        <v>6</v>
      </c>
      <c r="E25" s="43"/>
      <c r="F25" s="44">
        <v>1</v>
      </c>
      <c r="G25" s="44">
        <v>1</v>
      </c>
    </row>
    <row r="26" spans="1:14" ht="20.100000000000001" customHeight="1" x14ac:dyDescent="0.2">
      <c r="A26" s="99" t="s">
        <v>111</v>
      </c>
      <c r="B26" s="99" t="s">
        <v>112</v>
      </c>
      <c r="C26" s="98" t="s">
        <v>113</v>
      </c>
      <c r="D26" s="101">
        <v>6</v>
      </c>
      <c r="E26" s="43"/>
      <c r="F26" s="44">
        <v>1</v>
      </c>
      <c r="G26" s="44">
        <v>2</v>
      </c>
    </row>
    <row r="27" spans="1:14" ht="20.100000000000001" customHeight="1" x14ac:dyDescent="0.2">
      <c r="A27" s="99" t="s">
        <v>114</v>
      </c>
      <c r="B27" s="99" t="s">
        <v>106</v>
      </c>
      <c r="C27" s="105" t="s">
        <v>115</v>
      </c>
      <c r="D27" s="101">
        <v>6</v>
      </c>
      <c r="E27" s="43"/>
      <c r="F27" s="44">
        <v>1</v>
      </c>
      <c r="G27" s="44">
        <v>1</v>
      </c>
    </row>
    <row r="28" spans="1:14" ht="20.100000000000001" customHeight="1" x14ac:dyDescent="0.2">
      <c r="A28" s="99" t="s">
        <v>116</v>
      </c>
      <c r="B28" s="99" t="s">
        <v>117</v>
      </c>
      <c r="C28" s="98" t="s">
        <v>118</v>
      </c>
      <c r="D28" s="101">
        <v>6</v>
      </c>
      <c r="E28" s="43"/>
      <c r="F28" s="44">
        <v>1</v>
      </c>
      <c r="G28" s="44">
        <v>5</v>
      </c>
    </row>
    <row r="29" spans="1:14" ht="20.100000000000001" customHeight="1" x14ac:dyDescent="0.2">
      <c r="A29" s="100" t="s">
        <v>119</v>
      </c>
      <c r="B29" s="100" t="s">
        <v>120</v>
      </c>
      <c r="C29" s="105" t="s">
        <v>121</v>
      </c>
      <c r="D29" s="101">
        <v>6</v>
      </c>
      <c r="E29" s="43"/>
      <c r="F29" s="44">
        <v>1</v>
      </c>
      <c r="G29" s="44">
        <v>1</v>
      </c>
    </row>
    <row r="30" spans="1:14" ht="20.100000000000001" customHeight="1" x14ac:dyDescent="0.2">
      <c r="A30" s="99" t="s">
        <v>122</v>
      </c>
      <c r="B30" s="99" t="s">
        <v>123</v>
      </c>
      <c r="C30" s="98" t="s">
        <v>124</v>
      </c>
      <c r="D30" s="101">
        <v>6</v>
      </c>
      <c r="E30" s="45"/>
      <c r="F30" s="44">
        <v>1</v>
      </c>
      <c r="G30" s="44">
        <v>1</v>
      </c>
    </row>
    <row r="31" spans="1:14" ht="20.100000000000001" customHeight="1" x14ac:dyDescent="0.2">
      <c r="A31" s="100" t="s">
        <v>125</v>
      </c>
      <c r="B31" s="100">
        <v>210936085</v>
      </c>
      <c r="C31" s="105" t="s">
        <v>126</v>
      </c>
      <c r="D31" s="101">
        <v>6</v>
      </c>
      <c r="E31" s="45"/>
      <c r="F31" s="44">
        <v>1</v>
      </c>
      <c r="G31" s="44">
        <v>2</v>
      </c>
    </row>
    <row r="32" spans="1:14" ht="20.100000000000001" customHeight="1" x14ac:dyDescent="0.2">
      <c r="A32" s="106" t="s">
        <v>127</v>
      </c>
      <c r="B32" s="106" t="s">
        <v>128</v>
      </c>
      <c r="C32" s="98" t="s">
        <v>129</v>
      </c>
      <c r="D32" s="101">
        <v>6</v>
      </c>
      <c r="E32" s="45"/>
      <c r="F32" s="44">
        <v>1</v>
      </c>
      <c r="G32" s="44">
        <v>1</v>
      </c>
    </row>
    <row r="33" spans="1:7" ht="20.100000000000001" customHeight="1" x14ac:dyDescent="0.2">
      <c r="A33" s="100" t="s">
        <v>130</v>
      </c>
      <c r="B33" s="100">
        <v>201225757</v>
      </c>
      <c r="C33" s="105" t="s">
        <v>131</v>
      </c>
      <c r="D33" s="101">
        <v>6</v>
      </c>
      <c r="E33" s="45"/>
      <c r="F33" s="44">
        <v>1</v>
      </c>
      <c r="G33" s="44">
        <v>5</v>
      </c>
    </row>
    <row r="34" spans="1:7" ht="20.100000000000001" customHeight="1" x14ac:dyDescent="0.2">
      <c r="A34" s="99" t="s">
        <v>132</v>
      </c>
      <c r="B34" s="99">
        <v>201225758</v>
      </c>
      <c r="C34" s="98" t="s">
        <v>133</v>
      </c>
      <c r="D34" s="101">
        <v>6</v>
      </c>
      <c r="E34" s="45"/>
      <c r="F34" s="44">
        <v>1</v>
      </c>
      <c r="G34" s="44">
        <v>2</v>
      </c>
    </row>
    <row r="35" spans="1:7" ht="20.100000000000001" customHeight="1" x14ac:dyDescent="0.2">
      <c r="A35" s="100" t="s">
        <v>134</v>
      </c>
      <c r="B35" s="100">
        <v>210330220</v>
      </c>
      <c r="C35" s="105" t="s">
        <v>135</v>
      </c>
      <c r="D35" s="101">
        <v>6</v>
      </c>
      <c r="E35" s="45"/>
      <c r="F35" s="44">
        <v>1</v>
      </c>
      <c r="G35" s="44">
        <v>2</v>
      </c>
    </row>
    <row r="36" spans="1:7" ht="20.100000000000001" customHeight="1" x14ac:dyDescent="0.2">
      <c r="A36" s="99" t="s">
        <v>136</v>
      </c>
      <c r="B36" s="99" t="s">
        <v>137</v>
      </c>
      <c r="C36" s="98" t="s">
        <v>138</v>
      </c>
      <c r="D36" s="101">
        <v>6</v>
      </c>
      <c r="E36" s="45"/>
      <c r="F36" s="44">
        <v>1</v>
      </c>
      <c r="G36" s="44">
        <v>2</v>
      </c>
    </row>
    <row r="37" spans="1:7" ht="20.100000000000001" customHeight="1" x14ac:dyDescent="0.2">
      <c r="A37" s="100" t="s">
        <v>139</v>
      </c>
      <c r="B37" s="100">
        <v>210733737</v>
      </c>
      <c r="C37" s="105" t="s">
        <v>140</v>
      </c>
      <c r="D37" s="101">
        <v>6</v>
      </c>
      <c r="E37" s="45"/>
      <c r="F37" s="44">
        <v>1</v>
      </c>
      <c r="G37" s="44">
        <v>2</v>
      </c>
    </row>
    <row r="38" spans="1:7" ht="20.100000000000001" customHeight="1" x14ac:dyDescent="0.2">
      <c r="A38" s="99" t="s">
        <v>141</v>
      </c>
      <c r="B38" s="99" t="s">
        <v>142</v>
      </c>
      <c r="C38" s="98" t="s">
        <v>143</v>
      </c>
      <c r="D38" s="101">
        <v>6</v>
      </c>
      <c r="E38" s="45"/>
      <c r="F38" s="44">
        <v>1</v>
      </c>
      <c r="G38" s="44">
        <v>1</v>
      </c>
    </row>
    <row r="39" spans="1:7" ht="20.100000000000001" customHeight="1" x14ac:dyDescent="0.2">
      <c r="A39" s="100" t="s">
        <v>144</v>
      </c>
      <c r="B39" s="100" t="s">
        <v>145</v>
      </c>
      <c r="C39" s="105" t="s">
        <v>146</v>
      </c>
      <c r="D39" s="101">
        <v>6</v>
      </c>
      <c r="E39" s="45"/>
      <c r="F39" s="44">
        <v>1</v>
      </c>
      <c r="G39" s="44">
        <v>1</v>
      </c>
    </row>
    <row r="40" spans="1:7" ht="20.100000000000001" customHeight="1" x14ac:dyDescent="0.2">
      <c r="A40" s="99" t="s">
        <v>147</v>
      </c>
      <c r="B40" s="99" t="s">
        <v>148</v>
      </c>
      <c r="C40" s="98" t="s">
        <v>149</v>
      </c>
      <c r="D40" s="101">
        <v>6</v>
      </c>
      <c r="E40" s="45"/>
      <c r="F40" s="44">
        <v>1</v>
      </c>
      <c r="G40" s="44">
        <v>10</v>
      </c>
    </row>
    <row r="41" spans="1:7" ht="20.100000000000001" customHeight="1" x14ac:dyDescent="0.2">
      <c r="A41" s="100" t="s">
        <v>150</v>
      </c>
      <c r="B41" s="100" t="s">
        <v>151</v>
      </c>
      <c r="C41" s="105" t="s">
        <v>152</v>
      </c>
      <c r="D41" s="101">
        <v>6</v>
      </c>
      <c r="E41" s="45"/>
      <c r="F41" s="44">
        <v>1</v>
      </c>
      <c r="G41" s="44">
        <v>2</v>
      </c>
    </row>
    <row r="42" spans="1:7" ht="20.100000000000001" customHeight="1" x14ac:dyDescent="0.2">
      <c r="A42" s="99" t="s">
        <v>153</v>
      </c>
      <c r="B42" s="99" t="s">
        <v>154</v>
      </c>
      <c r="C42" s="98" t="s">
        <v>155</v>
      </c>
      <c r="D42" s="101">
        <v>6</v>
      </c>
      <c r="E42" s="47"/>
      <c r="F42" s="44">
        <v>1</v>
      </c>
      <c r="G42" s="44">
        <v>1</v>
      </c>
    </row>
    <row r="43" spans="1:7" ht="20.100000000000001" customHeight="1" x14ac:dyDescent="0.2">
      <c r="A43" s="100" t="s">
        <v>156</v>
      </c>
      <c r="B43" s="100" t="s">
        <v>157</v>
      </c>
      <c r="C43" s="105" t="s">
        <v>158</v>
      </c>
      <c r="D43" s="101">
        <v>6</v>
      </c>
      <c r="E43" s="48"/>
      <c r="F43" s="44">
        <v>1</v>
      </c>
      <c r="G43" s="44">
        <v>2</v>
      </c>
    </row>
    <row r="44" spans="1:7" ht="20.100000000000001" customHeight="1" x14ac:dyDescent="0.2">
      <c r="A44" s="99" t="s">
        <v>159</v>
      </c>
      <c r="B44" s="99" t="s">
        <v>160</v>
      </c>
      <c r="C44" s="98" t="s">
        <v>161</v>
      </c>
      <c r="D44" s="101">
        <v>6</v>
      </c>
      <c r="E44" s="48"/>
      <c r="F44" s="44">
        <v>1</v>
      </c>
      <c r="G44" s="44">
        <v>2</v>
      </c>
    </row>
    <row r="45" spans="1:7" ht="20.100000000000001" customHeight="1" x14ac:dyDescent="0.2">
      <c r="A45" s="100" t="s">
        <v>162</v>
      </c>
      <c r="B45" s="100" t="s">
        <v>163</v>
      </c>
      <c r="C45" s="105" t="s">
        <v>164</v>
      </c>
      <c r="D45" s="101">
        <v>6</v>
      </c>
      <c r="E45" s="48"/>
      <c r="F45" s="44">
        <v>1</v>
      </c>
      <c r="G45" s="44">
        <v>1</v>
      </c>
    </row>
    <row r="46" spans="1:7" ht="20.100000000000001" customHeight="1" x14ac:dyDescent="0.2">
      <c r="A46" s="99" t="s">
        <v>165</v>
      </c>
      <c r="B46" s="99" t="s">
        <v>166</v>
      </c>
      <c r="C46" s="98" t="s">
        <v>167</v>
      </c>
      <c r="D46" s="101">
        <v>6</v>
      </c>
      <c r="E46" s="48"/>
      <c r="F46" s="44">
        <v>1</v>
      </c>
      <c r="G46" s="44">
        <v>1</v>
      </c>
    </row>
    <row r="47" spans="1:7" ht="20.100000000000001" customHeight="1" x14ac:dyDescent="0.2">
      <c r="A47" s="99" t="s">
        <v>168</v>
      </c>
      <c r="B47" s="99" t="s">
        <v>169</v>
      </c>
      <c r="C47" s="98" t="s">
        <v>170</v>
      </c>
      <c r="D47" s="101">
        <v>1</v>
      </c>
      <c r="E47" s="48"/>
      <c r="F47" s="44">
        <v>1</v>
      </c>
      <c r="G47" s="44">
        <v>9</v>
      </c>
    </row>
    <row r="48" spans="1:7" ht="20.100000000000001" customHeight="1" x14ac:dyDescent="0.2">
      <c r="A48" s="100" t="s">
        <v>171</v>
      </c>
      <c r="B48" s="100" t="s">
        <v>172</v>
      </c>
      <c r="C48" s="105" t="s">
        <v>173</v>
      </c>
      <c r="D48" s="101">
        <v>6</v>
      </c>
      <c r="E48" s="48"/>
      <c r="F48" s="44"/>
      <c r="G48" s="44"/>
    </row>
    <row r="49" spans="1:7" ht="20.100000000000001" customHeight="1" x14ac:dyDescent="0.2">
      <c r="A49" s="107" t="s">
        <v>174</v>
      </c>
      <c r="B49" s="107">
        <v>210936631</v>
      </c>
      <c r="C49" s="108" t="s">
        <v>175</v>
      </c>
      <c r="D49" s="101">
        <v>0</v>
      </c>
      <c r="E49" s="48"/>
      <c r="F49" s="44">
        <v>1</v>
      </c>
      <c r="G49" s="44">
        <v>1</v>
      </c>
    </row>
    <row r="50" spans="1:7" ht="20.100000000000001" customHeight="1" x14ac:dyDescent="0.25">
      <c r="A50" s="109"/>
      <c r="B50" s="110"/>
      <c r="C50" s="111"/>
      <c r="D50" s="104">
        <v>145</v>
      </c>
      <c r="E50" s="48"/>
      <c r="F50" s="44">
        <v>1</v>
      </c>
      <c r="G50" s="44">
        <v>1</v>
      </c>
    </row>
    <row r="51" spans="1:7" ht="20.100000000000001" customHeight="1" x14ac:dyDescent="0.2">
      <c r="A51" s="99" t="s">
        <v>176</v>
      </c>
      <c r="B51" s="99" t="s">
        <v>106</v>
      </c>
      <c r="C51" s="98" t="s">
        <v>177</v>
      </c>
      <c r="D51" s="101">
        <v>6</v>
      </c>
      <c r="E51" s="48"/>
      <c r="F51" s="44">
        <v>1</v>
      </c>
      <c r="G51" s="44">
        <v>1</v>
      </c>
    </row>
    <row r="52" spans="1:7" ht="20.100000000000001" customHeight="1" x14ac:dyDescent="0.2">
      <c r="A52" s="100" t="s">
        <v>178</v>
      </c>
      <c r="B52" s="100" t="s">
        <v>179</v>
      </c>
      <c r="C52" s="105" t="s">
        <v>180</v>
      </c>
      <c r="D52" s="101">
        <v>6</v>
      </c>
      <c r="E52" s="49"/>
      <c r="F52" s="44">
        <v>1</v>
      </c>
      <c r="G52" s="44">
        <v>0</v>
      </c>
    </row>
    <row r="53" spans="1:7" ht="20.100000000000001" customHeight="1" x14ac:dyDescent="0.2">
      <c r="A53" s="99" t="s">
        <v>181</v>
      </c>
      <c r="B53" s="99" t="s">
        <v>182</v>
      </c>
      <c r="C53" s="98" t="s">
        <v>183</v>
      </c>
      <c r="D53" s="101">
        <v>6</v>
      </c>
      <c r="E53" s="49"/>
      <c r="F53" s="44">
        <v>1</v>
      </c>
      <c r="G53" s="44">
        <v>1</v>
      </c>
    </row>
    <row r="54" spans="1:7" ht="20.100000000000001" customHeight="1" x14ac:dyDescent="0.2">
      <c r="A54" s="99" t="s">
        <v>184</v>
      </c>
      <c r="B54" s="99" t="s">
        <v>185</v>
      </c>
      <c r="C54" s="98" t="s">
        <v>186</v>
      </c>
      <c r="D54" s="101">
        <v>6</v>
      </c>
      <c r="E54" s="49"/>
      <c r="F54" s="44">
        <v>1</v>
      </c>
      <c r="G54" s="44">
        <v>1</v>
      </c>
    </row>
    <row r="55" spans="1:7" ht="20.100000000000001" customHeight="1" x14ac:dyDescent="0.2">
      <c r="A55" s="100" t="s">
        <v>187</v>
      </c>
      <c r="B55" s="100">
        <v>190805847</v>
      </c>
      <c r="C55" s="105" t="s">
        <v>188</v>
      </c>
      <c r="D55" s="101">
        <v>6</v>
      </c>
      <c r="E55" s="49"/>
      <c r="F55" s="44">
        <v>1</v>
      </c>
      <c r="G55" s="44">
        <v>1</v>
      </c>
    </row>
    <row r="56" spans="1:7" ht="20.100000000000001" customHeight="1" x14ac:dyDescent="0.2">
      <c r="A56" s="99" t="s">
        <v>189</v>
      </c>
      <c r="B56" s="99" t="s">
        <v>190</v>
      </c>
      <c r="C56" s="98" t="s">
        <v>191</v>
      </c>
      <c r="D56" s="101">
        <v>6</v>
      </c>
      <c r="E56" s="49"/>
      <c r="F56" s="44">
        <v>1</v>
      </c>
      <c r="G56" s="44">
        <v>7</v>
      </c>
    </row>
    <row r="57" spans="1:7" ht="20.100000000000001" customHeight="1" x14ac:dyDescent="0.2">
      <c r="A57" s="100" t="s">
        <v>192</v>
      </c>
      <c r="B57" s="100" t="s">
        <v>193</v>
      </c>
      <c r="C57" s="105" t="s">
        <v>194</v>
      </c>
      <c r="D57" s="101">
        <v>6</v>
      </c>
      <c r="E57" s="49"/>
      <c r="F57" s="44">
        <v>1</v>
      </c>
      <c r="G57" s="44">
        <v>1</v>
      </c>
    </row>
    <row r="58" spans="1:7" ht="20.100000000000001" customHeight="1" x14ac:dyDescent="0.2">
      <c r="A58" s="99" t="s">
        <v>195</v>
      </c>
      <c r="B58" s="99" t="s">
        <v>196</v>
      </c>
      <c r="C58" s="98" t="s">
        <v>197</v>
      </c>
      <c r="D58" s="101">
        <v>6</v>
      </c>
      <c r="E58" s="49"/>
      <c r="F58" s="44">
        <v>1</v>
      </c>
      <c r="G58" s="44">
        <v>1</v>
      </c>
    </row>
    <row r="59" spans="1:7" ht="20.100000000000001" customHeight="1" x14ac:dyDescent="0.2">
      <c r="A59" s="100" t="s">
        <v>198</v>
      </c>
      <c r="B59" s="100" t="s">
        <v>199</v>
      </c>
      <c r="C59" s="105" t="s">
        <v>200</v>
      </c>
      <c r="D59" s="101">
        <v>6</v>
      </c>
      <c r="E59" s="49"/>
      <c r="F59" s="44">
        <v>1</v>
      </c>
      <c r="G59" s="44">
        <v>1</v>
      </c>
    </row>
    <row r="60" spans="1:7" ht="20.100000000000001" customHeight="1" x14ac:dyDescent="0.2">
      <c r="A60" s="99" t="s">
        <v>201</v>
      </c>
      <c r="B60" s="99" t="s">
        <v>202</v>
      </c>
      <c r="C60" s="98" t="s">
        <v>203</v>
      </c>
      <c r="D60" s="101">
        <v>6</v>
      </c>
      <c r="E60" s="49"/>
      <c r="F60" s="44">
        <v>1</v>
      </c>
      <c r="G60" s="44">
        <v>1</v>
      </c>
    </row>
    <row r="61" spans="1:7" ht="20.100000000000001" customHeight="1" x14ac:dyDescent="0.2">
      <c r="A61" s="100" t="s">
        <v>204</v>
      </c>
      <c r="B61" s="100" t="s">
        <v>205</v>
      </c>
      <c r="C61" s="105" t="s">
        <v>206</v>
      </c>
      <c r="D61" s="101">
        <v>6</v>
      </c>
      <c r="E61" s="49"/>
      <c r="F61" s="44">
        <v>1</v>
      </c>
      <c r="G61" s="44">
        <v>1</v>
      </c>
    </row>
    <row r="62" spans="1:7" ht="20.100000000000001" customHeight="1" x14ac:dyDescent="0.2">
      <c r="A62" s="99" t="s">
        <v>207</v>
      </c>
      <c r="B62" s="99" t="s">
        <v>208</v>
      </c>
      <c r="C62" s="98" t="s">
        <v>209</v>
      </c>
      <c r="D62" s="101">
        <v>6</v>
      </c>
      <c r="E62" s="49"/>
      <c r="F62" s="44">
        <v>1</v>
      </c>
      <c r="G62" s="44">
        <v>1</v>
      </c>
    </row>
    <row r="63" spans="1:7" ht="20.100000000000001" customHeight="1" x14ac:dyDescent="0.2">
      <c r="A63" s="100" t="s">
        <v>210</v>
      </c>
      <c r="B63" s="100" t="s">
        <v>211</v>
      </c>
      <c r="C63" s="105" t="s">
        <v>212</v>
      </c>
      <c r="D63" s="101">
        <v>6</v>
      </c>
      <c r="E63" s="49"/>
      <c r="F63" s="44">
        <v>1</v>
      </c>
      <c r="G63" s="44">
        <v>6</v>
      </c>
    </row>
    <row r="64" spans="1:7" ht="20.100000000000001" customHeight="1" x14ac:dyDescent="0.2">
      <c r="A64" s="99" t="s">
        <v>213</v>
      </c>
      <c r="B64" s="99" t="s">
        <v>214</v>
      </c>
      <c r="C64" s="98" t="s">
        <v>215</v>
      </c>
      <c r="D64" s="101">
        <v>6</v>
      </c>
      <c r="E64" s="49"/>
      <c r="F64" s="44">
        <v>1</v>
      </c>
      <c r="G64" s="44">
        <v>1</v>
      </c>
    </row>
    <row r="65" spans="1:7" ht="20.100000000000001" customHeight="1" x14ac:dyDescent="0.2">
      <c r="A65" s="100" t="s">
        <v>216</v>
      </c>
      <c r="B65" s="100" t="s">
        <v>217</v>
      </c>
      <c r="C65" s="105" t="s">
        <v>218</v>
      </c>
      <c r="D65" s="101">
        <v>5</v>
      </c>
      <c r="E65" s="49"/>
      <c r="F65" s="44">
        <v>1</v>
      </c>
      <c r="G65" s="44">
        <v>1</v>
      </c>
    </row>
    <row r="66" spans="1:7" ht="20.100000000000001" customHeight="1" x14ac:dyDescent="0.2">
      <c r="A66" s="99" t="s">
        <v>219</v>
      </c>
      <c r="B66" s="99" t="s">
        <v>220</v>
      </c>
      <c r="C66" s="98" t="s">
        <v>221</v>
      </c>
      <c r="D66" s="101">
        <v>6</v>
      </c>
      <c r="E66" s="49"/>
      <c r="F66" s="44">
        <v>1</v>
      </c>
      <c r="G66" s="44">
        <v>1</v>
      </c>
    </row>
    <row r="67" spans="1:7" ht="20.100000000000001" customHeight="1" x14ac:dyDescent="0.2">
      <c r="A67" s="100" t="s">
        <v>222</v>
      </c>
      <c r="B67" s="100" t="s">
        <v>223</v>
      </c>
      <c r="C67" s="105" t="s">
        <v>224</v>
      </c>
      <c r="D67" s="101">
        <v>6</v>
      </c>
      <c r="E67" s="49"/>
      <c r="F67" s="44">
        <v>1</v>
      </c>
      <c r="G67" s="44">
        <v>1</v>
      </c>
    </row>
    <row r="68" spans="1:7" ht="20.100000000000001" customHeight="1" x14ac:dyDescent="0.2">
      <c r="A68" s="99" t="s">
        <v>225</v>
      </c>
      <c r="B68" s="99" t="s">
        <v>226</v>
      </c>
      <c r="C68" s="98" t="s">
        <v>227</v>
      </c>
      <c r="D68" s="101">
        <v>6</v>
      </c>
      <c r="E68" s="49"/>
      <c r="F68" s="44">
        <v>1</v>
      </c>
      <c r="G68" s="44">
        <v>4</v>
      </c>
    </row>
    <row r="69" spans="1:7" ht="20.100000000000001" customHeight="1" x14ac:dyDescent="0.2">
      <c r="A69" s="100" t="s">
        <v>228</v>
      </c>
      <c r="B69" s="100" t="s">
        <v>229</v>
      </c>
      <c r="C69" s="105" t="s">
        <v>230</v>
      </c>
      <c r="D69" s="101">
        <v>6</v>
      </c>
      <c r="E69" s="49"/>
      <c r="F69" s="44">
        <v>1</v>
      </c>
      <c r="G69" s="44">
        <v>0</v>
      </c>
    </row>
    <row r="70" spans="1:7" ht="20.100000000000001" customHeight="1" x14ac:dyDescent="0.2">
      <c r="A70" s="99" t="s">
        <v>231</v>
      </c>
      <c r="B70" s="99" t="s">
        <v>232</v>
      </c>
      <c r="C70" s="98" t="s">
        <v>233</v>
      </c>
      <c r="D70" s="101">
        <v>6</v>
      </c>
      <c r="E70" s="49"/>
      <c r="F70" s="44">
        <v>1</v>
      </c>
      <c r="G70" s="44">
        <v>1</v>
      </c>
    </row>
    <row r="71" spans="1:7" ht="20.100000000000001" customHeight="1" x14ac:dyDescent="0.2">
      <c r="A71" s="100" t="s">
        <v>234</v>
      </c>
      <c r="B71" s="100">
        <v>210937133</v>
      </c>
      <c r="C71" s="105" t="s">
        <v>235</v>
      </c>
      <c r="D71" s="101">
        <v>6</v>
      </c>
      <c r="E71" s="49"/>
      <c r="F71" s="44">
        <v>1</v>
      </c>
      <c r="G71" s="44">
        <v>1</v>
      </c>
    </row>
    <row r="72" spans="1:7" ht="20.100000000000001" customHeight="1" x14ac:dyDescent="0.2">
      <c r="A72" s="99" t="s">
        <v>236</v>
      </c>
      <c r="B72" s="99" t="s">
        <v>237</v>
      </c>
      <c r="C72" s="98" t="s">
        <v>238</v>
      </c>
      <c r="D72" s="101">
        <v>6</v>
      </c>
      <c r="E72" s="49"/>
      <c r="F72" s="44">
        <v>1</v>
      </c>
      <c r="G72" s="44">
        <v>0</v>
      </c>
    </row>
    <row r="73" spans="1:7" ht="20.100000000000001" customHeight="1" x14ac:dyDescent="0.2">
      <c r="A73" s="100" t="s">
        <v>239</v>
      </c>
      <c r="B73" s="100" t="s">
        <v>240</v>
      </c>
      <c r="C73" s="105" t="s">
        <v>241</v>
      </c>
      <c r="D73" s="101">
        <v>6</v>
      </c>
      <c r="E73" s="49"/>
      <c r="F73" s="44">
        <v>1</v>
      </c>
      <c r="G73" s="44">
        <v>1</v>
      </c>
    </row>
    <row r="74" spans="1:7" ht="20.100000000000001" customHeight="1" x14ac:dyDescent="0.2">
      <c r="A74" s="99" t="s">
        <v>242</v>
      </c>
      <c r="B74" s="99" t="s">
        <v>243</v>
      </c>
      <c r="C74" s="98" t="s">
        <v>244</v>
      </c>
      <c r="D74" s="101">
        <v>6</v>
      </c>
      <c r="E74" s="49"/>
      <c r="F74" s="44"/>
      <c r="G74" s="44"/>
    </row>
    <row r="75" spans="1:7" ht="20.100000000000001" customHeight="1" x14ac:dyDescent="0.2">
      <c r="A75" s="99" t="s">
        <v>245</v>
      </c>
      <c r="B75" s="99" t="s">
        <v>246</v>
      </c>
      <c r="C75" s="98" t="s">
        <v>247</v>
      </c>
      <c r="D75" s="101">
        <v>4</v>
      </c>
      <c r="E75" s="49"/>
      <c r="F75" s="44">
        <v>1</v>
      </c>
      <c r="G75" s="44">
        <v>4</v>
      </c>
    </row>
    <row r="76" spans="1:7" ht="20.100000000000001" customHeight="1" x14ac:dyDescent="0.25">
      <c r="A76" s="112"/>
      <c r="B76" s="113"/>
      <c r="C76" s="114"/>
      <c r="D76" s="104">
        <v>147</v>
      </c>
      <c r="E76" s="49"/>
      <c r="F76" s="44">
        <v>1</v>
      </c>
      <c r="G76" s="44">
        <v>2</v>
      </c>
    </row>
    <row r="77" spans="1:7" ht="20.100000000000001" customHeight="1" x14ac:dyDescent="0.2">
      <c r="A77" s="100" t="s">
        <v>248</v>
      </c>
      <c r="B77" s="100" t="s">
        <v>249</v>
      </c>
      <c r="C77" s="105" t="s">
        <v>250</v>
      </c>
      <c r="D77" s="101">
        <v>2</v>
      </c>
      <c r="E77" s="53"/>
      <c r="F77" s="77">
        <v>1</v>
      </c>
      <c r="G77" s="44">
        <v>2</v>
      </c>
    </row>
    <row r="78" spans="1:7" ht="20.100000000000001" customHeight="1" x14ac:dyDescent="0.2">
      <c r="A78" s="99" t="s">
        <v>251</v>
      </c>
      <c r="B78" s="99" t="s">
        <v>252</v>
      </c>
      <c r="C78" s="98" t="s">
        <v>253</v>
      </c>
      <c r="D78" s="101">
        <v>2</v>
      </c>
      <c r="E78" s="53"/>
      <c r="F78" s="77">
        <v>1</v>
      </c>
      <c r="G78" s="44">
        <v>2</v>
      </c>
    </row>
    <row r="79" spans="1:7" ht="20.100000000000001" customHeight="1" x14ac:dyDescent="0.2">
      <c r="A79" s="99" t="s">
        <v>254</v>
      </c>
      <c r="B79" s="99" t="s">
        <v>255</v>
      </c>
      <c r="C79" s="98" t="s">
        <v>256</v>
      </c>
      <c r="D79" s="101">
        <v>2</v>
      </c>
      <c r="E79" s="53"/>
      <c r="F79" s="77">
        <v>1</v>
      </c>
      <c r="G79" s="44">
        <v>2</v>
      </c>
    </row>
    <row r="80" spans="1:7" ht="20.100000000000001" customHeight="1" x14ac:dyDescent="0.2">
      <c r="A80" s="99" t="s">
        <v>257</v>
      </c>
      <c r="B80" s="99" t="s">
        <v>258</v>
      </c>
      <c r="C80" s="98" t="s">
        <v>259</v>
      </c>
      <c r="D80" s="101">
        <v>2</v>
      </c>
      <c r="E80" s="53"/>
      <c r="F80" s="77">
        <v>1</v>
      </c>
      <c r="G80" s="44">
        <v>2</v>
      </c>
    </row>
    <row r="81" spans="1:7" ht="20.100000000000001" customHeight="1" x14ac:dyDescent="0.2">
      <c r="A81" s="100" t="s">
        <v>260</v>
      </c>
      <c r="B81" s="100" t="s">
        <v>261</v>
      </c>
      <c r="C81" s="105" t="s">
        <v>262</v>
      </c>
      <c r="D81" s="101">
        <v>2</v>
      </c>
      <c r="E81" s="53"/>
      <c r="F81" s="77">
        <v>1</v>
      </c>
      <c r="G81" s="44">
        <v>2</v>
      </c>
    </row>
    <row r="82" spans="1:7" ht="20.100000000000001" customHeight="1" x14ac:dyDescent="0.2">
      <c r="A82" s="99" t="s">
        <v>263</v>
      </c>
      <c r="B82" s="99" t="s">
        <v>261</v>
      </c>
      <c r="C82" s="98" t="s">
        <v>264</v>
      </c>
      <c r="D82" s="101">
        <v>2</v>
      </c>
      <c r="E82" s="53"/>
      <c r="F82" s="77">
        <v>1</v>
      </c>
      <c r="G82" s="44">
        <v>2</v>
      </c>
    </row>
    <row r="83" spans="1:7" ht="20.100000000000001" customHeight="1" x14ac:dyDescent="0.2">
      <c r="A83" s="100" t="s">
        <v>265</v>
      </c>
      <c r="B83" s="100">
        <v>200922658</v>
      </c>
      <c r="C83" s="105" t="s">
        <v>266</v>
      </c>
      <c r="D83" s="102">
        <v>5</v>
      </c>
      <c r="E83" s="53"/>
      <c r="F83" s="77">
        <v>1</v>
      </c>
      <c r="G83" s="44">
        <v>2</v>
      </c>
    </row>
    <row r="84" spans="1:7" ht="20.100000000000001" customHeight="1" x14ac:dyDescent="0.2">
      <c r="A84" s="99" t="s">
        <v>267</v>
      </c>
      <c r="B84" s="99">
        <v>210431270</v>
      </c>
      <c r="C84" s="98" t="s">
        <v>268</v>
      </c>
      <c r="D84" s="103">
        <v>2</v>
      </c>
      <c r="E84" s="53"/>
      <c r="F84" s="77"/>
      <c r="G84" s="44"/>
    </row>
    <row r="85" spans="1:7" ht="20.100000000000001" customHeight="1" x14ac:dyDescent="0.2">
      <c r="A85" s="100" t="s">
        <v>269</v>
      </c>
      <c r="B85" s="100" t="s">
        <v>270</v>
      </c>
      <c r="C85" s="105" t="s">
        <v>271</v>
      </c>
      <c r="D85" s="103">
        <v>4</v>
      </c>
      <c r="E85" s="53"/>
      <c r="F85" s="77">
        <v>1</v>
      </c>
      <c r="G85" s="44">
        <v>2</v>
      </c>
    </row>
    <row r="86" spans="1:7" ht="20.100000000000001" customHeight="1" x14ac:dyDescent="0.25">
      <c r="A86" s="115"/>
      <c r="B86" s="116"/>
      <c r="C86" s="117"/>
      <c r="D86" s="104">
        <v>23</v>
      </c>
      <c r="E86" s="53"/>
      <c r="F86" s="77"/>
      <c r="G86" s="44"/>
    </row>
    <row r="87" spans="1:7" ht="20.100000000000001" customHeight="1" x14ac:dyDescent="0.2">
      <c r="A87" s="100" t="s">
        <v>272</v>
      </c>
      <c r="B87" s="100" t="s">
        <v>273</v>
      </c>
      <c r="C87" s="105" t="s">
        <v>274</v>
      </c>
      <c r="D87" s="103">
        <v>5</v>
      </c>
      <c r="E87" s="53"/>
      <c r="F87" s="77"/>
      <c r="G87" s="44"/>
    </row>
    <row r="88" spans="1:7" ht="20.100000000000001" customHeight="1" x14ac:dyDescent="0.25">
      <c r="A88" s="51"/>
      <c r="B88" s="46"/>
      <c r="C88" s="52"/>
      <c r="D88" s="54">
        <v>24</v>
      </c>
      <c r="E88" s="53"/>
      <c r="F88" s="77"/>
      <c r="G88" s="44"/>
    </row>
    <row r="89" spans="1:7" ht="20.100000000000001" customHeight="1" x14ac:dyDescent="0.2">
      <c r="A89" s="120" t="s">
        <v>275</v>
      </c>
      <c r="B89" s="120" t="s">
        <v>276</v>
      </c>
      <c r="C89" s="121" t="s">
        <v>277</v>
      </c>
      <c r="D89" s="125">
        <v>3</v>
      </c>
      <c r="E89" s="53"/>
      <c r="F89" s="77"/>
      <c r="G89" s="44"/>
    </row>
    <row r="90" spans="1:7" ht="20.100000000000001" customHeight="1" x14ac:dyDescent="0.2">
      <c r="A90" s="122" t="s">
        <v>278</v>
      </c>
      <c r="B90" s="122" t="s">
        <v>279</v>
      </c>
      <c r="C90" s="123" t="s">
        <v>280</v>
      </c>
      <c r="D90" s="125">
        <v>4</v>
      </c>
      <c r="E90" s="53"/>
      <c r="F90" s="77"/>
      <c r="G90" s="44"/>
    </row>
    <row r="91" spans="1:7" ht="20.100000000000001" customHeight="1" x14ac:dyDescent="0.2">
      <c r="A91" s="120" t="s">
        <v>281</v>
      </c>
      <c r="B91" s="120" t="s">
        <v>279</v>
      </c>
      <c r="C91" s="121" t="s">
        <v>282</v>
      </c>
      <c r="D91" s="125">
        <v>8</v>
      </c>
      <c r="E91" s="53"/>
      <c r="F91" s="77"/>
      <c r="G91" s="44"/>
    </row>
    <row r="92" spans="1:7" ht="20.100000000000001" customHeight="1" x14ac:dyDescent="0.2">
      <c r="A92" s="122" t="s">
        <v>283</v>
      </c>
      <c r="B92" s="122" t="s">
        <v>284</v>
      </c>
      <c r="C92" s="123" t="s">
        <v>285</v>
      </c>
      <c r="D92" s="125">
        <v>8</v>
      </c>
      <c r="E92" s="53"/>
      <c r="F92" s="77"/>
      <c r="G92" s="44"/>
    </row>
    <row r="93" spans="1:7" ht="20.100000000000001" customHeight="1" x14ac:dyDescent="0.2">
      <c r="A93" s="120" t="s">
        <v>286</v>
      </c>
      <c r="B93" s="120" t="s">
        <v>287</v>
      </c>
      <c r="C93" s="121" t="s">
        <v>288</v>
      </c>
      <c r="D93" s="125">
        <v>8</v>
      </c>
      <c r="E93" s="53"/>
      <c r="F93" s="77"/>
      <c r="G93" s="44"/>
    </row>
    <row r="94" spans="1:7" ht="20.100000000000001" customHeight="1" x14ac:dyDescent="0.2">
      <c r="A94" s="122" t="s">
        <v>289</v>
      </c>
      <c r="B94" s="122" t="s">
        <v>290</v>
      </c>
      <c r="C94" s="123" t="s">
        <v>291</v>
      </c>
      <c r="D94" s="125">
        <v>4</v>
      </c>
      <c r="E94" s="53"/>
      <c r="F94" s="77"/>
      <c r="G94" s="44"/>
    </row>
    <row r="95" spans="1:7" ht="20.100000000000001" customHeight="1" x14ac:dyDescent="0.2">
      <c r="A95" s="120" t="s">
        <v>292</v>
      </c>
      <c r="B95" s="120" t="s">
        <v>290</v>
      </c>
      <c r="C95" s="121" t="s">
        <v>293</v>
      </c>
      <c r="D95" s="125">
        <v>4</v>
      </c>
      <c r="E95" s="53"/>
      <c r="F95" s="77"/>
      <c r="G95" s="44"/>
    </row>
    <row r="96" spans="1:7" ht="20.100000000000001" customHeight="1" x14ac:dyDescent="0.25">
      <c r="A96" s="120"/>
      <c r="B96" s="120"/>
      <c r="C96" s="121"/>
      <c r="D96" s="124">
        <v>39</v>
      </c>
      <c r="E96" s="53"/>
      <c r="F96" s="77"/>
      <c r="G96" s="44"/>
    </row>
    <row r="97" spans="1:7" ht="20.100000000000001" customHeight="1" x14ac:dyDescent="0.2">
      <c r="A97" s="122" t="s">
        <v>294</v>
      </c>
      <c r="B97" s="122" t="s">
        <v>295</v>
      </c>
      <c r="C97" s="123" t="s">
        <v>296</v>
      </c>
      <c r="D97" s="125">
        <v>0</v>
      </c>
      <c r="E97" s="53"/>
      <c r="F97" s="77"/>
      <c r="G97" s="44"/>
    </row>
    <row r="98" spans="1:7" ht="20.100000000000001" customHeight="1" x14ac:dyDescent="0.2">
      <c r="A98" s="120" t="s">
        <v>297</v>
      </c>
      <c r="B98" s="120" t="s">
        <v>295</v>
      </c>
      <c r="C98" s="121" t="s">
        <v>298</v>
      </c>
      <c r="D98" s="125">
        <v>8</v>
      </c>
      <c r="E98" s="53"/>
      <c r="F98" s="77"/>
      <c r="G98" s="44"/>
    </row>
    <row r="99" spans="1:7" ht="20.100000000000001" customHeight="1" x14ac:dyDescent="0.2">
      <c r="A99" s="122" t="s">
        <v>299</v>
      </c>
      <c r="B99" s="122" t="s">
        <v>300</v>
      </c>
      <c r="C99" s="123" t="s">
        <v>301</v>
      </c>
      <c r="D99" s="125">
        <v>16</v>
      </c>
      <c r="E99" s="53"/>
      <c r="F99" s="77"/>
      <c r="G99" s="44"/>
    </row>
    <row r="100" spans="1:7" ht="20.100000000000001" customHeight="1" x14ac:dyDescent="0.2">
      <c r="A100" s="120" t="s">
        <v>302</v>
      </c>
      <c r="B100" s="120" t="s">
        <v>303</v>
      </c>
      <c r="C100" s="121" t="s">
        <v>304</v>
      </c>
      <c r="D100" s="125">
        <v>10</v>
      </c>
      <c r="E100" s="53"/>
      <c r="F100" s="77"/>
      <c r="G100" s="44"/>
    </row>
    <row r="101" spans="1:7" ht="20.100000000000001" customHeight="1" x14ac:dyDescent="0.2">
      <c r="A101" s="122" t="s">
        <v>305</v>
      </c>
      <c r="B101" s="122" t="s">
        <v>306</v>
      </c>
      <c r="C101" s="123" t="s">
        <v>307</v>
      </c>
      <c r="D101" s="125">
        <v>16</v>
      </c>
      <c r="E101" s="53"/>
      <c r="F101" s="44"/>
      <c r="G101" s="44"/>
    </row>
    <row r="102" spans="1:7" ht="20.100000000000001" customHeight="1" x14ac:dyDescent="0.2">
      <c r="A102" s="120" t="s">
        <v>308</v>
      </c>
      <c r="B102" s="120" t="s">
        <v>309</v>
      </c>
      <c r="C102" s="121" t="s">
        <v>310</v>
      </c>
      <c r="D102" s="125">
        <v>8</v>
      </c>
      <c r="E102" s="53"/>
      <c r="F102" s="77"/>
      <c r="G102" s="44"/>
    </row>
    <row r="103" spans="1:7" ht="20.100000000000001" customHeight="1" x14ac:dyDescent="0.2">
      <c r="A103" s="122" t="s">
        <v>311</v>
      </c>
      <c r="B103" s="122" t="s">
        <v>312</v>
      </c>
      <c r="C103" s="123" t="s">
        <v>313</v>
      </c>
      <c r="D103" s="125">
        <v>8</v>
      </c>
      <c r="E103" s="53"/>
      <c r="F103" s="77"/>
      <c r="G103" s="44"/>
    </row>
    <row r="104" spans="1:7" ht="20.100000000000001" customHeight="1" x14ac:dyDescent="0.2">
      <c r="A104" s="120" t="s">
        <v>314</v>
      </c>
      <c r="B104" s="120" t="s">
        <v>315</v>
      </c>
      <c r="C104" s="121" t="s">
        <v>316</v>
      </c>
      <c r="D104" s="125">
        <v>8</v>
      </c>
      <c r="E104" s="53"/>
      <c r="F104" s="77"/>
      <c r="G104" s="44"/>
    </row>
    <row r="105" spans="1:7" ht="20.100000000000001" customHeight="1" x14ac:dyDescent="0.2">
      <c r="A105" s="122" t="s">
        <v>317</v>
      </c>
      <c r="B105" s="122" t="s">
        <v>318</v>
      </c>
      <c r="C105" s="123" t="s">
        <v>319</v>
      </c>
      <c r="D105" s="125">
        <v>8</v>
      </c>
      <c r="E105" s="53"/>
      <c r="F105" s="77"/>
      <c r="G105" s="44"/>
    </row>
    <row r="106" spans="1:7" ht="20.100000000000001" customHeight="1" x14ac:dyDescent="0.25">
      <c r="A106" s="122"/>
      <c r="B106" s="122"/>
      <c r="C106" s="123"/>
      <c r="D106" s="124">
        <v>88</v>
      </c>
      <c r="E106" s="53"/>
      <c r="F106" s="77"/>
      <c r="G106" s="44"/>
    </row>
    <row r="107" spans="1:7" ht="20.100000000000001" customHeight="1" x14ac:dyDescent="0.2">
      <c r="A107" s="118" t="s">
        <v>374</v>
      </c>
      <c r="B107" s="118">
        <v>210430759</v>
      </c>
      <c r="C107" s="135" t="s">
        <v>375</v>
      </c>
      <c r="D107" s="101">
        <v>1</v>
      </c>
      <c r="E107" s="53"/>
      <c r="F107" s="77"/>
      <c r="G107" s="44"/>
    </row>
    <row r="108" spans="1:7" ht="20.100000000000001" customHeight="1" x14ac:dyDescent="0.2">
      <c r="A108" s="126" t="s">
        <v>376</v>
      </c>
      <c r="B108" s="126">
        <v>220243234</v>
      </c>
      <c r="C108" s="119" t="s">
        <v>377</v>
      </c>
      <c r="D108" s="101">
        <v>1</v>
      </c>
      <c r="E108" s="53"/>
      <c r="F108" s="77"/>
      <c r="G108" s="44"/>
    </row>
    <row r="109" spans="1:7" ht="20.100000000000001" customHeight="1" x14ac:dyDescent="0.2">
      <c r="A109" s="118" t="s">
        <v>378</v>
      </c>
      <c r="B109" s="118" t="s">
        <v>379</v>
      </c>
      <c r="C109" s="135" t="s">
        <v>380</v>
      </c>
      <c r="D109" s="101">
        <v>1</v>
      </c>
      <c r="E109" s="53"/>
      <c r="F109" s="77"/>
      <c r="G109" s="44"/>
    </row>
    <row r="110" spans="1:7" ht="20.100000000000001" customHeight="1" x14ac:dyDescent="0.2">
      <c r="A110" s="126" t="s">
        <v>381</v>
      </c>
      <c r="B110" s="126" t="s">
        <v>382</v>
      </c>
      <c r="C110" s="119" t="s">
        <v>383</v>
      </c>
      <c r="D110" s="101">
        <v>1</v>
      </c>
      <c r="E110" s="53"/>
      <c r="F110" s="77"/>
      <c r="G110" s="44"/>
    </row>
    <row r="111" spans="1:7" ht="20.100000000000001" customHeight="1" x14ac:dyDescent="0.2">
      <c r="A111" s="118" t="s">
        <v>384</v>
      </c>
      <c r="B111" s="118" t="s">
        <v>385</v>
      </c>
      <c r="C111" s="135" t="s">
        <v>386</v>
      </c>
      <c r="D111" s="101">
        <v>1</v>
      </c>
      <c r="E111" s="53"/>
      <c r="F111" s="77"/>
      <c r="G111" s="44"/>
    </row>
    <row r="112" spans="1:7" ht="20.100000000000001" customHeight="1" x14ac:dyDescent="0.2">
      <c r="A112" s="118" t="s">
        <v>387</v>
      </c>
      <c r="B112" s="118" t="s">
        <v>388</v>
      </c>
      <c r="C112" s="135" t="s">
        <v>389</v>
      </c>
      <c r="D112" s="101">
        <v>1</v>
      </c>
      <c r="E112" s="53"/>
      <c r="F112" s="77"/>
      <c r="G112" s="44"/>
    </row>
    <row r="113" spans="1:7" ht="20.100000000000001" customHeight="1" x14ac:dyDescent="0.25">
      <c r="A113" s="99"/>
      <c r="B113" s="99"/>
      <c r="C113" s="134"/>
      <c r="D113" s="104">
        <f>SUM(D107:D112)</f>
        <v>6</v>
      </c>
      <c r="E113" s="53"/>
      <c r="F113" s="77"/>
      <c r="G113" s="44"/>
    </row>
    <row r="114" spans="1:7" ht="20.100000000000001" customHeight="1" x14ac:dyDescent="0.2">
      <c r="A114" s="126" t="s">
        <v>390</v>
      </c>
      <c r="B114" s="126" t="s">
        <v>391</v>
      </c>
      <c r="C114" s="119" t="s">
        <v>392</v>
      </c>
      <c r="D114" s="101">
        <v>1</v>
      </c>
      <c r="E114" s="53"/>
      <c r="F114" s="77"/>
      <c r="G114" s="44"/>
    </row>
    <row r="115" spans="1:7" ht="20.100000000000001" customHeight="1" x14ac:dyDescent="0.2">
      <c r="A115" s="118" t="s">
        <v>393</v>
      </c>
      <c r="B115" s="118" t="s">
        <v>394</v>
      </c>
      <c r="C115" s="135" t="s">
        <v>395</v>
      </c>
      <c r="D115" s="101">
        <v>1</v>
      </c>
      <c r="E115" s="53"/>
      <c r="F115" s="77"/>
      <c r="G115" s="44"/>
    </row>
    <row r="116" spans="1:7" ht="20.100000000000001" customHeight="1" x14ac:dyDescent="0.2">
      <c r="A116" s="126" t="s">
        <v>396</v>
      </c>
      <c r="B116" s="126" t="s">
        <v>397</v>
      </c>
      <c r="C116" s="119" t="s">
        <v>398</v>
      </c>
      <c r="D116" s="101">
        <v>1</v>
      </c>
      <c r="E116" s="53"/>
      <c r="F116" s="77"/>
      <c r="G116" s="44"/>
    </row>
    <row r="117" spans="1:7" ht="20.100000000000001" customHeight="1" x14ac:dyDescent="0.2">
      <c r="A117" s="118" t="s">
        <v>399</v>
      </c>
      <c r="B117" s="118" t="s">
        <v>400</v>
      </c>
      <c r="C117" s="135" t="s">
        <v>401</v>
      </c>
      <c r="D117" s="101">
        <v>1</v>
      </c>
      <c r="E117" s="53"/>
      <c r="F117" s="77"/>
      <c r="G117" s="44"/>
    </row>
    <row r="118" spans="1:7" ht="20.100000000000001" customHeight="1" x14ac:dyDescent="0.2">
      <c r="A118" s="126" t="s">
        <v>402</v>
      </c>
      <c r="B118" s="126" t="s">
        <v>403</v>
      </c>
      <c r="C118" s="119" t="s">
        <v>404</v>
      </c>
      <c r="D118" s="101">
        <v>1</v>
      </c>
      <c r="E118" s="53"/>
      <c r="F118" s="77"/>
      <c r="G118" s="44"/>
    </row>
    <row r="119" spans="1:7" ht="20.100000000000001" customHeight="1" x14ac:dyDescent="0.2">
      <c r="A119" s="118" t="s">
        <v>405</v>
      </c>
      <c r="B119" s="118" t="s">
        <v>406</v>
      </c>
      <c r="C119" s="135" t="s">
        <v>407</v>
      </c>
      <c r="D119" s="101">
        <v>1</v>
      </c>
      <c r="E119" s="53"/>
      <c r="F119" s="77"/>
      <c r="G119" s="44"/>
    </row>
    <row r="120" spans="1:7" ht="20.100000000000001" customHeight="1" x14ac:dyDescent="0.2">
      <c r="A120" s="126" t="s">
        <v>408</v>
      </c>
      <c r="B120" s="126" t="s">
        <v>409</v>
      </c>
      <c r="C120" s="119" t="s">
        <v>410</v>
      </c>
      <c r="D120" s="101">
        <v>1</v>
      </c>
      <c r="E120" s="53"/>
      <c r="F120" s="77"/>
      <c r="G120" s="44"/>
    </row>
    <row r="121" spans="1:7" ht="20.100000000000001" customHeight="1" x14ac:dyDescent="0.25">
      <c r="A121" s="99"/>
      <c r="B121" s="99"/>
      <c r="C121" s="134"/>
      <c r="D121" s="104">
        <f>SUM(D114:D120)</f>
        <v>7</v>
      </c>
      <c r="E121" s="53"/>
      <c r="F121" s="77"/>
      <c r="G121" s="44"/>
    </row>
    <row r="122" spans="1:7" ht="20.100000000000001" customHeight="1" x14ac:dyDescent="0.2">
      <c r="A122" s="126" t="s">
        <v>411</v>
      </c>
      <c r="B122" s="126" t="s">
        <v>412</v>
      </c>
      <c r="C122" s="119" t="s">
        <v>413</v>
      </c>
      <c r="D122" s="101">
        <v>1</v>
      </c>
      <c r="E122" s="53"/>
      <c r="F122" s="77"/>
      <c r="G122" s="44"/>
    </row>
    <row r="123" spans="1:7" ht="20.100000000000001" customHeight="1" x14ac:dyDescent="0.2">
      <c r="A123" s="118" t="s">
        <v>414</v>
      </c>
      <c r="B123" s="118" t="s">
        <v>415</v>
      </c>
      <c r="C123" s="135" t="s">
        <v>416</v>
      </c>
      <c r="D123" s="101">
        <v>1</v>
      </c>
      <c r="E123" s="53"/>
      <c r="F123" s="77"/>
      <c r="G123" s="44"/>
    </row>
    <row r="124" spans="1:7" ht="20.100000000000001" customHeight="1" x14ac:dyDescent="0.2">
      <c r="A124" s="118" t="s">
        <v>417</v>
      </c>
      <c r="B124" s="118" t="s">
        <v>418</v>
      </c>
      <c r="C124" s="135" t="s">
        <v>419</v>
      </c>
      <c r="D124" s="101">
        <v>1</v>
      </c>
      <c r="E124" s="53"/>
      <c r="F124" s="77"/>
      <c r="G124" s="44"/>
    </row>
    <row r="125" spans="1:7" ht="20.100000000000001" customHeight="1" x14ac:dyDescent="0.2">
      <c r="A125" s="126" t="s">
        <v>420</v>
      </c>
      <c r="B125" s="126" t="s">
        <v>421</v>
      </c>
      <c r="C125" s="119" t="s">
        <v>422</v>
      </c>
      <c r="D125" s="101">
        <v>1</v>
      </c>
      <c r="E125" s="53"/>
      <c r="F125" s="77"/>
      <c r="G125" s="44"/>
    </row>
    <row r="126" spans="1:7" ht="20.100000000000001" customHeight="1" x14ac:dyDescent="0.2">
      <c r="A126" s="118" t="s">
        <v>423</v>
      </c>
      <c r="B126" s="118" t="s">
        <v>424</v>
      </c>
      <c r="C126" s="135" t="s">
        <v>425</v>
      </c>
      <c r="D126" s="101">
        <v>1</v>
      </c>
      <c r="E126" s="53"/>
      <c r="F126" s="77"/>
      <c r="G126" s="44"/>
    </row>
    <row r="127" spans="1:7" ht="20.100000000000001" customHeight="1" x14ac:dyDescent="0.2">
      <c r="A127" s="126" t="s">
        <v>426</v>
      </c>
      <c r="B127" s="126" t="s">
        <v>427</v>
      </c>
      <c r="C127" s="119" t="s">
        <v>428</v>
      </c>
      <c r="D127" s="101">
        <v>1</v>
      </c>
      <c r="E127" s="53"/>
      <c r="F127" s="77"/>
      <c r="G127" s="44"/>
    </row>
    <row r="128" spans="1:7" ht="20.100000000000001" customHeight="1" x14ac:dyDescent="0.2">
      <c r="A128" s="118" t="s">
        <v>429</v>
      </c>
      <c r="B128" s="118" t="s">
        <v>430</v>
      </c>
      <c r="C128" s="135" t="s">
        <v>431</v>
      </c>
      <c r="D128" s="101">
        <v>1</v>
      </c>
      <c r="E128" s="53"/>
      <c r="F128" s="77"/>
      <c r="G128" s="44"/>
    </row>
    <row r="129" spans="1:7" ht="20.100000000000001" customHeight="1" x14ac:dyDescent="0.2">
      <c r="A129" s="126" t="s">
        <v>432</v>
      </c>
      <c r="B129" s="126" t="s">
        <v>433</v>
      </c>
      <c r="C129" s="119" t="s">
        <v>434</v>
      </c>
      <c r="D129" s="101">
        <v>1</v>
      </c>
      <c r="E129" s="53"/>
      <c r="F129" s="77"/>
      <c r="G129" s="44"/>
    </row>
    <row r="130" spans="1:7" ht="20.100000000000001" customHeight="1" x14ac:dyDescent="0.2">
      <c r="A130" s="118" t="s">
        <v>435</v>
      </c>
      <c r="B130" s="118" t="s">
        <v>436</v>
      </c>
      <c r="C130" s="135" t="s">
        <v>437</v>
      </c>
      <c r="D130" s="101">
        <v>1</v>
      </c>
      <c r="E130" s="53"/>
      <c r="F130" s="77"/>
      <c r="G130" s="44"/>
    </row>
    <row r="131" spans="1:7" ht="20.100000000000001" customHeight="1" x14ac:dyDescent="0.25">
      <c r="A131" s="118"/>
      <c r="B131" s="118"/>
      <c r="C131" s="135"/>
      <c r="D131" s="104">
        <f>SUM(D122:D130)</f>
        <v>9</v>
      </c>
      <c r="E131" s="53"/>
      <c r="F131" s="77"/>
      <c r="G131" s="44"/>
    </row>
    <row r="132" spans="1:7" ht="20.100000000000001" customHeight="1" x14ac:dyDescent="0.2">
      <c r="A132" s="126" t="s">
        <v>438</v>
      </c>
      <c r="B132" s="126" t="s">
        <v>439</v>
      </c>
      <c r="C132" s="119" t="s">
        <v>440</v>
      </c>
      <c r="D132" s="101">
        <v>1</v>
      </c>
      <c r="E132" s="53"/>
      <c r="F132" s="77"/>
      <c r="G132" s="44"/>
    </row>
    <row r="133" spans="1:7" ht="20.100000000000001" customHeight="1" x14ac:dyDescent="0.2">
      <c r="A133" s="118" t="s">
        <v>441</v>
      </c>
      <c r="B133" s="118" t="s">
        <v>442</v>
      </c>
      <c r="C133" s="135" t="s">
        <v>443</v>
      </c>
      <c r="D133" s="101">
        <v>1</v>
      </c>
      <c r="E133" s="53"/>
      <c r="F133" s="77"/>
      <c r="G133" s="44"/>
    </row>
    <row r="134" spans="1:7" ht="20.100000000000001" customHeight="1" x14ac:dyDescent="0.2">
      <c r="A134" s="126" t="s">
        <v>444</v>
      </c>
      <c r="B134" s="126" t="s">
        <v>445</v>
      </c>
      <c r="C134" s="119" t="s">
        <v>446</v>
      </c>
      <c r="D134" s="101">
        <v>1</v>
      </c>
      <c r="E134" s="53"/>
      <c r="F134" s="77"/>
      <c r="G134" s="44"/>
    </row>
    <row r="135" spans="1:7" ht="20.100000000000001" customHeight="1" x14ac:dyDescent="0.2">
      <c r="A135" s="118" t="s">
        <v>447</v>
      </c>
      <c r="B135" s="118" t="s">
        <v>448</v>
      </c>
      <c r="C135" s="135" t="s">
        <v>449</v>
      </c>
      <c r="D135" s="101">
        <v>1</v>
      </c>
      <c r="E135" s="53"/>
      <c r="F135" s="77"/>
      <c r="G135" s="44"/>
    </row>
    <row r="136" spans="1:7" ht="20.100000000000001" customHeight="1" x14ac:dyDescent="0.2">
      <c r="A136" s="126" t="s">
        <v>450</v>
      </c>
      <c r="B136" s="126" t="s">
        <v>451</v>
      </c>
      <c r="C136" s="119" t="s">
        <v>452</v>
      </c>
      <c r="D136" s="101">
        <v>1</v>
      </c>
      <c r="E136" s="53"/>
      <c r="F136" s="77"/>
      <c r="G136" s="44"/>
    </row>
    <row r="137" spans="1:7" ht="20.100000000000001" customHeight="1" x14ac:dyDescent="0.2">
      <c r="A137" s="118" t="s">
        <v>453</v>
      </c>
      <c r="B137" s="118" t="s">
        <v>454</v>
      </c>
      <c r="C137" s="135" t="s">
        <v>455</v>
      </c>
      <c r="D137" s="101">
        <v>1</v>
      </c>
      <c r="E137" s="53"/>
      <c r="F137" s="77"/>
      <c r="G137" s="44"/>
    </row>
    <row r="138" spans="1:7" ht="20.100000000000001" customHeight="1" x14ac:dyDescent="0.2">
      <c r="A138" s="126" t="s">
        <v>456</v>
      </c>
      <c r="B138" s="126" t="s">
        <v>457</v>
      </c>
      <c r="C138" s="119" t="s">
        <v>458</v>
      </c>
      <c r="D138" s="101">
        <v>1</v>
      </c>
      <c r="E138" s="53"/>
      <c r="F138" s="77"/>
      <c r="G138" s="44"/>
    </row>
    <row r="139" spans="1:7" ht="20.100000000000001" customHeight="1" x14ac:dyDescent="0.2">
      <c r="A139" s="118" t="s">
        <v>459</v>
      </c>
      <c r="B139" s="118" t="s">
        <v>460</v>
      </c>
      <c r="C139" s="135" t="s">
        <v>461</v>
      </c>
      <c r="D139" s="101">
        <v>1</v>
      </c>
      <c r="E139" s="53"/>
      <c r="F139" s="77"/>
      <c r="G139" s="44"/>
    </row>
    <row r="140" spans="1:7" ht="20.100000000000001" customHeight="1" x14ac:dyDescent="0.2">
      <c r="A140" s="126" t="s">
        <v>462</v>
      </c>
      <c r="B140" s="126" t="s">
        <v>463</v>
      </c>
      <c r="C140" s="119" t="s">
        <v>464</v>
      </c>
      <c r="D140" s="101">
        <v>1</v>
      </c>
      <c r="E140" s="53"/>
      <c r="F140" s="77"/>
      <c r="G140" s="44"/>
    </row>
    <row r="141" spans="1:7" ht="20.100000000000001" customHeight="1" x14ac:dyDescent="0.25">
      <c r="A141" s="99"/>
      <c r="B141" s="99"/>
      <c r="C141" s="134"/>
      <c r="D141" s="104">
        <f>SUM(D132:D140)</f>
        <v>9</v>
      </c>
      <c r="E141" s="53"/>
      <c r="F141" s="77"/>
      <c r="G141" s="44"/>
    </row>
    <row r="142" spans="1:7" ht="20.100000000000001" customHeight="1" x14ac:dyDescent="0.2">
      <c r="A142" s="126" t="s">
        <v>333</v>
      </c>
      <c r="B142" s="126" t="s">
        <v>334</v>
      </c>
      <c r="C142" s="119" t="s">
        <v>335</v>
      </c>
      <c r="D142" s="103">
        <v>1</v>
      </c>
      <c r="E142" s="53"/>
      <c r="F142" s="77"/>
      <c r="G142" s="44"/>
    </row>
    <row r="143" spans="1:7" ht="20.100000000000001" customHeight="1" x14ac:dyDescent="0.2">
      <c r="A143" s="118" t="s">
        <v>336</v>
      </c>
      <c r="B143" s="118" t="s">
        <v>337</v>
      </c>
      <c r="C143" s="135" t="s">
        <v>338</v>
      </c>
      <c r="D143" s="103">
        <v>1</v>
      </c>
      <c r="E143" s="53"/>
      <c r="F143" s="77"/>
      <c r="G143" s="44"/>
    </row>
    <row r="144" spans="1:7" ht="20.100000000000001" customHeight="1" x14ac:dyDescent="0.2">
      <c r="A144" s="126" t="s">
        <v>339</v>
      </c>
      <c r="B144" s="126" t="s">
        <v>340</v>
      </c>
      <c r="C144" s="119" t="s">
        <v>341</v>
      </c>
      <c r="D144" s="103">
        <v>1</v>
      </c>
      <c r="E144" s="53"/>
      <c r="F144" s="77"/>
      <c r="G144" s="44"/>
    </row>
    <row r="145" spans="1:7" ht="20.100000000000001" customHeight="1" x14ac:dyDescent="0.2">
      <c r="A145" s="118" t="s">
        <v>342</v>
      </c>
      <c r="B145" s="118" t="s">
        <v>343</v>
      </c>
      <c r="C145" s="135" t="s">
        <v>344</v>
      </c>
      <c r="D145" s="103">
        <v>1</v>
      </c>
      <c r="E145" s="53"/>
      <c r="F145" s="77"/>
      <c r="G145" s="44"/>
    </row>
    <row r="146" spans="1:7" ht="20.100000000000001" customHeight="1" x14ac:dyDescent="0.2">
      <c r="A146" s="126" t="s">
        <v>345</v>
      </c>
      <c r="B146" s="126" t="s">
        <v>346</v>
      </c>
      <c r="C146" s="119" t="s">
        <v>347</v>
      </c>
      <c r="D146" s="103">
        <v>1</v>
      </c>
      <c r="E146" s="53"/>
      <c r="F146" s="77"/>
      <c r="G146" s="44"/>
    </row>
    <row r="147" spans="1:7" ht="20.100000000000001" customHeight="1" x14ac:dyDescent="0.25">
      <c r="A147" s="126"/>
      <c r="B147" s="126"/>
      <c r="C147" s="119"/>
      <c r="D147" s="136">
        <v>5</v>
      </c>
      <c r="E147" s="53"/>
      <c r="F147" s="77"/>
      <c r="G147" s="44"/>
    </row>
    <row r="148" spans="1:7" ht="20.100000000000001" customHeight="1" x14ac:dyDescent="0.2">
      <c r="A148" s="118" t="s">
        <v>348</v>
      </c>
      <c r="B148" s="118">
        <v>210127043</v>
      </c>
      <c r="C148" s="135" t="s">
        <v>349</v>
      </c>
      <c r="D148" s="103">
        <v>1</v>
      </c>
      <c r="E148" s="53"/>
      <c r="F148" s="77"/>
      <c r="G148" s="44"/>
    </row>
    <row r="149" spans="1:7" ht="20.100000000000001" customHeight="1" x14ac:dyDescent="0.2">
      <c r="A149" s="126" t="s">
        <v>350</v>
      </c>
      <c r="B149" s="126">
        <v>210127044</v>
      </c>
      <c r="C149" s="119" t="s">
        <v>351</v>
      </c>
      <c r="D149" s="103">
        <v>1</v>
      </c>
      <c r="E149" s="53"/>
      <c r="F149" s="77"/>
      <c r="G149" s="44"/>
    </row>
    <row r="150" spans="1:7" ht="20.100000000000001" customHeight="1" x14ac:dyDescent="0.2">
      <c r="A150" s="118" t="s">
        <v>352</v>
      </c>
      <c r="B150" s="118">
        <v>210127045</v>
      </c>
      <c r="C150" s="135" t="s">
        <v>353</v>
      </c>
      <c r="D150" s="103">
        <v>1</v>
      </c>
      <c r="E150" s="53"/>
      <c r="F150" s="77"/>
      <c r="G150" s="44"/>
    </row>
    <row r="151" spans="1:7" ht="20.100000000000001" customHeight="1" x14ac:dyDescent="0.2">
      <c r="A151" s="126" t="s">
        <v>354</v>
      </c>
      <c r="B151" s="126">
        <v>210127046</v>
      </c>
      <c r="C151" s="119" t="s">
        <v>355</v>
      </c>
      <c r="D151" s="103">
        <v>1</v>
      </c>
      <c r="E151" s="53"/>
      <c r="F151" s="77"/>
      <c r="G151" s="44"/>
    </row>
    <row r="152" spans="1:7" ht="20.100000000000001" customHeight="1" x14ac:dyDescent="0.2">
      <c r="A152" s="118" t="s">
        <v>356</v>
      </c>
      <c r="B152" s="118">
        <v>210127047</v>
      </c>
      <c r="C152" s="135" t="s">
        <v>357</v>
      </c>
      <c r="D152" s="103">
        <v>1</v>
      </c>
      <c r="E152" s="53"/>
      <c r="F152" s="77"/>
      <c r="G152" s="44"/>
    </row>
    <row r="153" spans="1:7" ht="20.100000000000001" customHeight="1" x14ac:dyDescent="0.25">
      <c r="A153" s="100"/>
      <c r="B153" s="100"/>
      <c r="C153" s="137"/>
      <c r="D153" s="136">
        <v>5</v>
      </c>
      <c r="E153" s="53"/>
      <c r="F153" s="77"/>
      <c r="G153" s="44"/>
    </row>
    <row r="154" spans="1:7" ht="20.100000000000001" customHeight="1" x14ac:dyDescent="0.2">
      <c r="A154" s="138" t="s">
        <v>358</v>
      </c>
      <c r="B154" s="138" t="s">
        <v>359</v>
      </c>
      <c r="C154" s="139" t="s">
        <v>360</v>
      </c>
      <c r="D154" s="138">
        <v>1</v>
      </c>
      <c r="E154" s="53"/>
      <c r="F154" s="77"/>
      <c r="G154" s="44"/>
    </row>
    <row r="155" spans="1:7" ht="20.100000000000001" customHeight="1" x14ac:dyDescent="0.2">
      <c r="A155" s="138" t="s">
        <v>361</v>
      </c>
      <c r="B155" s="138" t="s">
        <v>362</v>
      </c>
      <c r="C155" s="139" t="s">
        <v>363</v>
      </c>
      <c r="D155" s="138">
        <v>1</v>
      </c>
      <c r="E155" s="53"/>
      <c r="F155" s="77"/>
      <c r="G155" s="44"/>
    </row>
    <row r="156" spans="1:7" ht="20.100000000000001" customHeight="1" x14ac:dyDescent="0.2">
      <c r="A156" s="138" t="s">
        <v>364</v>
      </c>
      <c r="B156" s="138" t="s">
        <v>365</v>
      </c>
      <c r="C156" s="139" t="s">
        <v>366</v>
      </c>
      <c r="D156" s="138">
        <v>1</v>
      </c>
      <c r="E156" s="53"/>
      <c r="F156" s="77"/>
      <c r="G156" s="44"/>
    </row>
    <row r="157" spans="1:7" ht="20.100000000000001" customHeight="1" x14ac:dyDescent="0.2">
      <c r="A157" s="138" t="s">
        <v>367</v>
      </c>
      <c r="B157" s="138">
        <v>20627619</v>
      </c>
      <c r="C157" s="139" t="s">
        <v>368</v>
      </c>
      <c r="D157" s="138">
        <v>1</v>
      </c>
      <c r="E157" s="53"/>
      <c r="F157" s="77"/>
      <c r="G157" s="44"/>
    </row>
    <row r="158" spans="1:7" ht="20.100000000000001" customHeight="1" x14ac:dyDescent="0.2">
      <c r="A158" s="138" t="s">
        <v>369</v>
      </c>
      <c r="B158" s="138">
        <v>19011498</v>
      </c>
      <c r="C158" s="139" t="s">
        <v>370</v>
      </c>
      <c r="D158" s="138">
        <v>0</v>
      </c>
      <c r="E158" s="53"/>
      <c r="F158" s="77"/>
      <c r="G158" s="44"/>
    </row>
    <row r="159" spans="1:7" ht="20.100000000000001" customHeight="1" x14ac:dyDescent="0.2">
      <c r="A159" s="138" t="s">
        <v>371</v>
      </c>
      <c r="B159" s="138" t="s">
        <v>372</v>
      </c>
      <c r="C159" s="139" t="s">
        <v>373</v>
      </c>
      <c r="D159" s="138">
        <v>0</v>
      </c>
      <c r="E159" s="53"/>
      <c r="F159" s="77"/>
      <c r="G159" s="44"/>
    </row>
    <row r="160" spans="1:7" ht="20.100000000000001" customHeight="1" x14ac:dyDescent="0.2">
      <c r="A160" s="140"/>
      <c r="B160" s="141"/>
      <c r="C160" s="142"/>
      <c r="D160" s="143">
        <v>4</v>
      </c>
      <c r="E160" s="53"/>
      <c r="F160" s="77"/>
      <c r="G160" s="44"/>
    </row>
    <row r="161" spans="1:7" ht="20.100000000000001" customHeight="1" x14ac:dyDescent="0.25">
      <c r="A161" s="56"/>
      <c r="B161" s="57"/>
      <c r="C161" s="58"/>
      <c r="D161" s="59"/>
      <c r="E161" s="58"/>
      <c r="F161" s="83" t="s">
        <v>37</v>
      </c>
      <c r="G161" s="81">
        <f>SUM(G24:G160)</f>
        <v>116</v>
      </c>
    </row>
    <row r="162" spans="1:7" ht="20.100000000000001" customHeight="1" x14ac:dyDescent="0.25">
      <c r="A162" s="56"/>
      <c r="B162" s="57"/>
      <c r="C162" s="58"/>
      <c r="D162" s="59"/>
      <c r="E162" s="58"/>
      <c r="F162" s="82" t="s">
        <v>38</v>
      </c>
      <c r="G162" s="81">
        <f>G161*12/100</f>
        <v>13.92</v>
      </c>
    </row>
    <row r="163" spans="1:7" ht="20.100000000000001" customHeight="1" x14ac:dyDescent="0.25">
      <c r="A163" s="56"/>
      <c r="B163" s="57"/>
      <c r="C163" s="58"/>
      <c r="D163" s="59"/>
      <c r="E163" s="58"/>
      <c r="F163" s="82" t="s">
        <v>39</v>
      </c>
      <c r="G163" s="81">
        <f>SUM(G161:G162)</f>
        <v>129.91999999999999</v>
      </c>
    </row>
    <row r="164" spans="1:7" ht="20.100000000000001" customHeight="1" x14ac:dyDescent="0.25">
      <c r="A164" s="56"/>
      <c r="B164" s="57"/>
      <c r="C164" s="58"/>
      <c r="D164" s="59"/>
      <c r="E164" s="58"/>
      <c r="F164" s="60"/>
      <c r="G164" s="78"/>
    </row>
    <row r="165" spans="1:7" ht="20.100000000000001" customHeight="1" x14ac:dyDescent="0.25">
      <c r="A165" s="61"/>
      <c r="B165" s="92"/>
      <c r="C165" s="93" t="s">
        <v>65</v>
      </c>
      <c r="D165" s="62"/>
      <c r="E165" s="62"/>
      <c r="F165" s="62"/>
      <c r="G165" s="63"/>
    </row>
    <row r="166" spans="1:7" ht="20.100000000000001" customHeight="1" x14ac:dyDescent="0.3">
      <c r="A166" s="61"/>
      <c r="B166" s="94" t="s">
        <v>32</v>
      </c>
      <c r="C166" s="94" t="s">
        <v>66</v>
      </c>
      <c r="D166" s="62"/>
      <c r="E166" s="62"/>
      <c r="F166" s="62"/>
      <c r="G166" s="63"/>
    </row>
    <row r="167" spans="1:7" ht="20.100000000000001" customHeight="1" x14ac:dyDescent="0.25">
      <c r="A167" s="61"/>
      <c r="B167" s="95"/>
      <c r="C167" s="95" t="s">
        <v>67</v>
      </c>
      <c r="D167" s="62"/>
      <c r="E167" s="62"/>
      <c r="F167" s="62"/>
      <c r="G167" s="62"/>
    </row>
    <row r="168" spans="1:7" ht="20.100000000000001" customHeight="1" x14ac:dyDescent="0.25">
      <c r="A168" s="61"/>
      <c r="B168" s="96">
        <v>2</v>
      </c>
      <c r="C168" s="97" t="s">
        <v>61</v>
      </c>
      <c r="D168" s="64"/>
      <c r="E168" s="64"/>
      <c r="F168" s="64"/>
      <c r="G168" s="65"/>
    </row>
    <row r="169" spans="1:7" ht="20.100000000000001" customHeight="1" x14ac:dyDescent="0.2">
      <c r="A169" s="61"/>
      <c r="B169" s="96">
        <v>2</v>
      </c>
      <c r="C169" s="97" t="s">
        <v>68</v>
      </c>
      <c r="D169" s="80"/>
      <c r="E169" s="80"/>
      <c r="F169" s="80"/>
      <c r="G169" s="66"/>
    </row>
    <row r="170" spans="1:7" ht="20.100000000000001" customHeight="1" x14ac:dyDescent="0.2">
      <c r="A170" s="61"/>
      <c r="B170" s="96">
        <v>2</v>
      </c>
      <c r="C170" s="97" t="s">
        <v>69</v>
      </c>
      <c r="D170" s="80"/>
      <c r="E170" s="80"/>
      <c r="F170" s="80"/>
      <c r="G170" s="66"/>
    </row>
    <row r="171" spans="1:7" ht="20.100000000000001" customHeight="1" x14ac:dyDescent="0.2">
      <c r="A171" s="61"/>
      <c r="B171" s="96">
        <v>1</v>
      </c>
      <c r="C171" s="97" t="s">
        <v>70</v>
      </c>
      <c r="D171" s="80"/>
      <c r="E171" s="80"/>
      <c r="F171" s="80"/>
      <c r="G171" s="66"/>
    </row>
    <row r="172" spans="1:7" ht="20.100000000000001" customHeight="1" x14ac:dyDescent="0.2">
      <c r="A172" s="61"/>
      <c r="B172" s="96">
        <v>1</v>
      </c>
      <c r="C172" s="97" t="s">
        <v>71</v>
      </c>
      <c r="D172" s="80"/>
      <c r="E172" s="80"/>
      <c r="F172" s="80"/>
      <c r="G172" s="66"/>
    </row>
    <row r="173" spans="1:7" ht="20.100000000000001" customHeight="1" x14ac:dyDescent="0.2">
      <c r="A173" s="61"/>
      <c r="B173" s="96">
        <v>1</v>
      </c>
      <c r="C173" s="97" t="s">
        <v>72</v>
      </c>
      <c r="D173" s="80"/>
      <c r="E173" s="80"/>
      <c r="F173" s="80"/>
      <c r="G173" s="66"/>
    </row>
    <row r="174" spans="1:7" ht="20.100000000000001" customHeight="1" x14ac:dyDescent="0.2">
      <c r="A174" s="61"/>
      <c r="B174" s="96">
        <v>1</v>
      </c>
      <c r="C174" s="97" t="s">
        <v>73</v>
      </c>
      <c r="D174" s="80"/>
      <c r="E174" s="80"/>
      <c r="F174" s="80"/>
      <c r="G174" s="66"/>
    </row>
    <row r="175" spans="1:7" ht="20.100000000000001" customHeight="1" x14ac:dyDescent="0.2">
      <c r="A175" s="61"/>
      <c r="B175" s="96">
        <v>2</v>
      </c>
      <c r="C175" s="97" t="s">
        <v>74</v>
      </c>
      <c r="D175" s="80"/>
      <c r="E175" s="80"/>
      <c r="F175" s="80"/>
      <c r="G175" s="66"/>
    </row>
    <row r="176" spans="1:7" ht="20.100000000000001" customHeight="1" x14ac:dyDescent="0.2">
      <c r="A176" s="61"/>
      <c r="B176" s="96">
        <v>1</v>
      </c>
      <c r="C176" s="97" t="s">
        <v>75</v>
      </c>
      <c r="D176" s="80"/>
      <c r="E176" s="80"/>
      <c r="F176" s="80"/>
      <c r="G176" s="66"/>
    </row>
    <row r="177" spans="1:7" ht="20.100000000000001" customHeight="1" x14ac:dyDescent="0.2">
      <c r="A177" s="61"/>
      <c r="B177" s="96">
        <v>1</v>
      </c>
      <c r="C177" s="97" t="s">
        <v>76</v>
      </c>
      <c r="D177" s="80"/>
      <c r="E177" s="80"/>
      <c r="F177" s="80"/>
      <c r="G177" s="66"/>
    </row>
    <row r="178" spans="1:7" ht="20.100000000000001" customHeight="1" x14ac:dyDescent="0.2">
      <c r="A178" s="61"/>
      <c r="B178" s="96">
        <v>1</v>
      </c>
      <c r="C178" s="97" t="s">
        <v>77</v>
      </c>
      <c r="D178" s="80"/>
      <c r="E178" s="80"/>
      <c r="F178" s="80"/>
      <c r="G178" s="66"/>
    </row>
    <row r="179" spans="1:7" ht="20.100000000000001" customHeight="1" x14ac:dyDescent="0.2">
      <c r="A179" s="61"/>
      <c r="B179" s="96">
        <v>1</v>
      </c>
      <c r="C179" s="97" t="s">
        <v>78</v>
      </c>
      <c r="D179" s="80"/>
      <c r="E179" s="80"/>
      <c r="F179" s="80"/>
      <c r="G179" s="66"/>
    </row>
    <row r="180" spans="1:7" ht="20.100000000000001" customHeight="1" x14ac:dyDescent="0.2">
      <c r="A180" s="61"/>
      <c r="B180" s="96">
        <v>1</v>
      </c>
      <c r="C180" s="97" t="s">
        <v>79</v>
      </c>
      <c r="D180" s="80"/>
      <c r="E180" s="80"/>
      <c r="F180" s="80"/>
      <c r="G180" s="66"/>
    </row>
    <row r="181" spans="1:7" ht="20.100000000000001" customHeight="1" x14ac:dyDescent="0.25">
      <c r="A181" s="61"/>
      <c r="B181" s="96">
        <v>1</v>
      </c>
      <c r="C181" s="97" t="s">
        <v>80</v>
      </c>
      <c r="D181" s="80"/>
      <c r="E181" s="80"/>
      <c r="F181" s="80"/>
      <c r="G181" s="65"/>
    </row>
    <row r="182" spans="1:7" ht="20.100000000000001" customHeight="1" x14ac:dyDescent="0.25">
      <c r="A182" s="61"/>
      <c r="B182" s="96">
        <v>2</v>
      </c>
      <c r="C182" s="97" t="s">
        <v>81</v>
      </c>
      <c r="D182" s="80"/>
      <c r="E182" s="80"/>
      <c r="F182" s="80"/>
      <c r="G182" s="65"/>
    </row>
    <row r="183" spans="1:7" ht="20.100000000000001" customHeight="1" x14ac:dyDescent="0.25">
      <c r="A183" s="61"/>
      <c r="B183" s="96">
        <v>2</v>
      </c>
      <c r="C183" s="97" t="s">
        <v>82</v>
      </c>
      <c r="D183" s="62"/>
      <c r="E183" s="62"/>
      <c r="F183" s="62"/>
      <c r="G183" s="65"/>
    </row>
    <row r="184" spans="1:7" ht="20.100000000000001" customHeight="1" x14ac:dyDescent="0.2">
      <c r="A184" s="61"/>
      <c r="B184" s="96">
        <v>1</v>
      </c>
      <c r="C184" s="97" t="s">
        <v>83</v>
      </c>
      <c r="D184" s="80"/>
      <c r="E184" s="80"/>
      <c r="F184" s="80"/>
      <c r="G184" s="66"/>
    </row>
    <row r="185" spans="1:7" ht="20.100000000000001" customHeight="1" x14ac:dyDescent="0.2">
      <c r="A185" s="61"/>
      <c r="B185" s="96">
        <v>2</v>
      </c>
      <c r="C185" s="97" t="s">
        <v>84</v>
      </c>
      <c r="D185" s="80"/>
      <c r="E185" s="80"/>
      <c r="F185" s="80"/>
      <c r="G185" s="66"/>
    </row>
    <row r="186" spans="1:7" ht="20.100000000000001" customHeight="1" x14ac:dyDescent="0.2">
      <c r="A186" s="61"/>
      <c r="B186" s="96">
        <v>2</v>
      </c>
      <c r="C186" s="97" t="s">
        <v>85</v>
      </c>
      <c r="D186" s="80"/>
      <c r="E186" s="80"/>
      <c r="F186" s="80"/>
      <c r="G186" s="66"/>
    </row>
    <row r="187" spans="1:7" ht="20.100000000000001" customHeight="1" x14ac:dyDescent="0.2">
      <c r="A187" s="61"/>
      <c r="B187" s="96">
        <v>1</v>
      </c>
      <c r="C187" s="97" t="s">
        <v>86</v>
      </c>
      <c r="D187" s="80"/>
      <c r="E187" s="80"/>
      <c r="F187" s="80"/>
      <c r="G187" s="66"/>
    </row>
    <row r="188" spans="1:7" ht="20.100000000000001" customHeight="1" x14ac:dyDescent="0.2">
      <c r="A188" s="61"/>
      <c r="B188" s="96">
        <v>1</v>
      </c>
      <c r="C188" s="97" t="s">
        <v>87</v>
      </c>
      <c r="D188" s="80"/>
      <c r="E188" s="80"/>
      <c r="F188" s="80"/>
      <c r="G188" s="66"/>
    </row>
    <row r="189" spans="1:7" ht="20.100000000000001" customHeight="1" x14ac:dyDescent="0.2">
      <c r="A189" s="61"/>
      <c r="B189" s="96"/>
      <c r="C189" s="97" t="s">
        <v>88</v>
      </c>
      <c r="D189" s="80"/>
      <c r="E189" s="80"/>
      <c r="F189" s="80"/>
      <c r="G189" s="66"/>
    </row>
    <row r="190" spans="1:7" ht="20.100000000000001" customHeight="1" x14ac:dyDescent="0.25">
      <c r="A190" s="61"/>
      <c r="B190" s="95">
        <f>SUM(B168:B189)</f>
        <v>29</v>
      </c>
      <c r="C190" s="97"/>
      <c r="D190" s="80"/>
      <c r="E190" s="80"/>
      <c r="F190" s="80"/>
      <c r="G190" s="66"/>
    </row>
    <row r="191" spans="1:7" ht="20.100000000000001" customHeight="1" x14ac:dyDescent="0.25">
      <c r="A191" s="61"/>
      <c r="B191" s="95"/>
      <c r="C191" s="95" t="s">
        <v>89</v>
      </c>
      <c r="D191" s="80"/>
      <c r="E191" s="80"/>
      <c r="F191" s="80"/>
      <c r="G191" s="66"/>
    </row>
    <row r="192" spans="1:7" ht="20.100000000000001" customHeight="1" x14ac:dyDescent="0.2">
      <c r="A192" s="61"/>
      <c r="B192" s="96">
        <v>1</v>
      </c>
      <c r="C192" s="97" t="s">
        <v>90</v>
      </c>
      <c r="D192" s="80"/>
      <c r="E192" s="80"/>
      <c r="F192" s="80"/>
      <c r="G192" s="66"/>
    </row>
    <row r="193" spans="1:7" ht="20.100000000000001" customHeight="1" x14ac:dyDescent="0.2">
      <c r="A193" s="61"/>
      <c r="B193" s="96">
        <v>1</v>
      </c>
      <c r="C193" s="97" t="s">
        <v>91</v>
      </c>
      <c r="D193" s="80"/>
      <c r="E193" s="80"/>
      <c r="F193" s="80"/>
      <c r="G193" s="66"/>
    </row>
    <row r="194" spans="1:7" ht="20.100000000000001" customHeight="1" x14ac:dyDescent="0.2">
      <c r="A194" s="61"/>
      <c r="B194" s="96">
        <v>2</v>
      </c>
      <c r="C194" s="97" t="s">
        <v>92</v>
      </c>
      <c r="D194" s="80"/>
      <c r="E194" s="80"/>
      <c r="F194" s="80"/>
      <c r="G194" s="66"/>
    </row>
    <row r="195" spans="1:7" ht="20.100000000000001" customHeight="1" x14ac:dyDescent="0.2">
      <c r="A195" s="61"/>
      <c r="B195" s="96">
        <v>1</v>
      </c>
      <c r="C195" s="97" t="s">
        <v>93</v>
      </c>
      <c r="D195" s="80"/>
      <c r="E195" s="80"/>
      <c r="F195" s="80"/>
      <c r="G195" s="66"/>
    </row>
    <row r="196" spans="1:7" ht="20.100000000000001" customHeight="1" x14ac:dyDescent="0.2">
      <c r="A196" s="61"/>
      <c r="B196" s="96">
        <v>1</v>
      </c>
      <c r="C196" s="97" t="s">
        <v>94</v>
      </c>
      <c r="D196" s="80"/>
      <c r="E196" s="80"/>
      <c r="F196" s="80"/>
      <c r="G196" s="66"/>
    </row>
    <row r="197" spans="1:7" ht="20.100000000000001" customHeight="1" x14ac:dyDescent="0.2">
      <c r="A197" s="61"/>
      <c r="B197" s="96">
        <v>1</v>
      </c>
      <c r="C197" s="97" t="s">
        <v>95</v>
      </c>
      <c r="D197" s="80"/>
      <c r="E197" s="80"/>
      <c r="F197" s="80"/>
      <c r="G197" s="66"/>
    </row>
    <row r="198" spans="1:7" ht="20.100000000000001" customHeight="1" x14ac:dyDescent="0.2">
      <c r="A198" s="61"/>
      <c r="B198" s="96">
        <v>1</v>
      </c>
      <c r="C198" s="97" t="s">
        <v>96</v>
      </c>
      <c r="D198" s="80"/>
      <c r="E198" s="80"/>
      <c r="F198" s="80"/>
      <c r="G198" s="66"/>
    </row>
    <row r="199" spans="1:7" ht="20.100000000000001" customHeight="1" x14ac:dyDescent="0.2">
      <c r="A199" s="61"/>
      <c r="B199" s="96">
        <v>1</v>
      </c>
      <c r="C199" s="97" t="s">
        <v>97</v>
      </c>
      <c r="D199" s="67"/>
      <c r="E199" s="67"/>
      <c r="F199" s="67"/>
      <c r="G199" s="68"/>
    </row>
    <row r="200" spans="1:7" ht="20.100000000000001" customHeight="1" x14ac:dyDescent="0.25">
      <c r="A200" s="61"/>
      <c r="B200" s="96">
        <v>1</v>
      </c>
      <c r="C200" s="97" t="s">
        <v>98</v>
      </c>
      <c r="D200" s="69"/>
      <c r="E200" s="69"/>
      <c r="F200" s="69"/>
      <c r="G200" s="70"/>
    </row>
    <row r="201" spans="1:7" ht="20.100000000000001" customHeight="1" x14ac:dyDescent="0.25">
      <c r="A201" s="61"/>
      <c r="B201" s="96">
        <v>1</v>
      </c>
      <c r="C201" s="97" t="s">
        <v>99</v>
      </c>
      <c r="D201" s="69"/>
      <c r="E201" s="69"/>
      <c r="F201" s="69"/>
      <c r="G201" s="70"/>
    </row>
    <row r="202" spans="1:7" ht="20.100000000000001" customHeight="1" x14ac:dyDescent="0.25">
      <c r="A202" s="61"/>
      <c r="B202" s="96">
        <v>2</v>
      </c>
      <c r="C202" s="97" t="s">
        <v>100</v>
      </c>
      <c r="D202" s="69"/>
      <c r="E202" s="69"/>
      <c r="F202" s="69"/>
      <c r="G202" s="70"/>
    </row>
    <row r="203" spans="1:7" ht="20.100000000000001" customHeight="1" x14ac:dyDescent="0.25">
      <c r="A203" s="61"/>
      <c r="B203" s="96">
        <v>1</v>
      </c>
      <c r="C203" s="97" t="s">
        <v>101</v>
      </c>
      <c r="D203" s="70"/>
      <c r="E203" s="70"/>
      <c r="F203" s="70"/>
      <c r="G203" s="70"/>
    </row>
    <row r="204" spans="1:7" ht="20.100000000000001" customHeight="1" x14ac:dyDescent="0.25">
      <c r="A204" s="61"/>
      <c r="B204" s="96">
        <v>2</v>
      </c>
      <c r="C204" s="97" t="s">
        <v>102</v>
      </c>
      <c r="D204" s="70"/>
      <c r="E204" s="70"/>
      <c r="F204" s="70"/>
      <c r="G204" s="70"/>
    </row>
    <row r="205" spans="1:7" ht="20.100000000000001" customHeight="1" x14ac:dyDescent="0.25">
      <c r="A205" s="61"/>
      <c r="B205" s="96">
        <v>2</v>
      </c>
      <c r="C205" s="97" t="s">
        <v>103</v>
      </c>
      <c r="D205" s="70"/>
      <c r="E205" s="70"/>
      <c r="F205" s="70"/>
      <c r="G205" s="70"/>
    </row>
    <row r="206" spans="1:7" ht="20.100000000000001" customHeight="1" x14ac:dyDescent="0.25">
      <c r="A206" s="61"/>
      <c r="B206" s="96">
        <v>1</v>
      </c>
      <c r="C206" s="97" t="s">
        <v>104</v>
      </c>
      <c r="D206" s="70"/>
      <c r="E206" s="70"/>
      <c r="F206" s="70"/>
      <c r="G206" s="70"/>
    </row>
    <row r="207" spans="1:7" ht="20.100000000000001" customHeight="1" x14ac:dyDescent="0.25">
      <c r="A207" s="61"/>
      <c r="B207" s="95">
        <f>SUM(B192:B206)</f>
        <v>19</v>
      </c>
      <c r="C207" s="97"/>
      <c r="D207" s="70"/>
      <c r="E207" s="70"/>
      <c r="F207" s="70"/>
      <c r="G207" s="70"/>
    </row>
    <row r="208" spans="1:7" ht="20.100000000000001" customHeight="1" x14ac:dyDescent="0.25">
      <c r="A208" s="61"/>
      <c r="B208" s="127"/>
      <c r="C208" s="128" t="s">
        <v>320</v>
      </c>
      <c r="D208" s="70"/>
      <c r="E208" s="70"/>
      <c r="F208" s="70"/>
      <c r="G208" s="70"/>
    </row>
    <row r="209" spans="1:7" ht="20.100000000000001" customHeight="1" x14ac:dyDescent="0.25">
      <c r="A209" s="61"/>
      <c r="B209" s="129" t="s">
        <v>32</v>
      </c>
      <c r="C209" s="128" t="s">
        <v>66</v>
      </c>
      <c r="D209" s="70"/>
      <c r="E209" s="70"/>
      <c r="F209" s="70"/>
      <c r="G209" s="70"/>
    </row>
    <row r="210" spans="1:7" ht="20.100000000000001" customHeight="1" x14ac:dyDescent="0.25">
      <c r="A210" s="61"/>
      <c r="B210" s="130">
        <v>1</v>
      </c>
      <c r="C210" s="131" t="s">
        <v>321</v>
      </c>
      <c r="D210" s="70"/>
      <c r="E210" s="70"/>
      <c r="F210" s="70"/>
      <c r="G210" s="70"/>
    </row>
    <row r="211" spans="1:7" ht="20.100000000000001" customHeight="1" x14ac:dyDescent="0.25">
      <c r="A211" s="61"/>
      <c r="B211" s="132">
        <v>1</v>
      </c>
      <c r="C211" s="133" t="s">
        <v>322</v>
      </c>
      <c r="D211" s="70"/>
      <c r="E211" s="70"/>
      <c r="F211" s="70"/>
      <c r="G211" s="70"/>
    </row>
    <row r="212" spans="1:7" ht="20.100000000000001" customHeight="1" x14ac:dyDescent="0.25">
      <c r="A212" s="61"/>
      <c r="B212" s="132">
        <v>1</v>
      </c>
      <c r="C212" s="133" t="s">
        <v>323</v>
      </c>
      <c r="D212" s="70"/>
      <c r="E212" s="70"/>
      <c r="F212" s="70"/>
      <c r="G212" s="70"/>
    </row>
    <row r="213" spans="1:7" ht="20.100000000000001" customHeight="1" x14ac:dyDescent="0.25">
      <c r="A213" s="61"/>
      <c r="B213" s="130">
        <v>1</v>
      </c>
      <c r="C213" s="131" t="s">
        <v>324</v>
      </c>
      <c r="D213" s="70"/>
      <c r="E213" s="70"/>
      <c r="F213" s="70"/>
      <c r="G213" s="70"/>
    </row>
    <row r="214" spans="1:7" ht="20.100000000000001" customHeight="1" x14ac:dyDescent="0.25">
      <c r="A214" s="61"/>
      <c r="B214" s="132">
        <v>1</v>
      </c>
      <c r="C214" s="133" t="s">
        <v>325</v>
      </c>
      <c r="D214" s="70"/>
      <c r="E214" s="70"/>
      <c r="F214" s="70"/>
      <c r="G214" s="70"/>
    </row>
    <row r="215" spans="1:7" ht="20.100000000000001" customHeight="1" x14ac:dyDescent="0.25">
      <c r="A215" s="61"/>
      <c r="B215" s="132">
        <v>1</v>
      </c>
      <c r="C215" s="133" t="s">
        <v>326</v>
      </c>
      <c r="D215" s="70"/>
      <c r="E215" s="70"/>
      <c r="F215" s="70"/>
      <c r="G215" s="70"/>
    </row>
    <row r="216" spans="1:7" ht="20.100000000000001" customHeight="1" x14ac:dyDescent="0.25">
      <c r="A216" s="61"/>
      <c r="B216" s="132">
        <v>1</v>
      </c>
      <c r="C216" s="133" t="s">
        <v>327</v>
      </c>
      <c r="D216" s="70"/>
      <c r="E216" s="70"/>
      <c r="F216" s="70"/>
      <c r="G216" s="70"/>
    </row>
    <row r="217" spans="1:7" ht="20.100000000000001" customHeight="1" x14ac:dyDescent="0.25">
      <c r="A217" s="61"/>
      <c r="B217" s="132">
        <v>2</v>
      </c>
      <c r="C217" s="133" t="s">
        <v>60</v>
      </c>
      <c r="D217" s="70"/>
      <c r="E217" s="70"/>
      <c r="F217" s="70"/>
      <c r="G217" s="70"/>
    </row>
    <row r="218" spans="1:7" ht="20.100000000000001" customHeight="1" x14ac:dyDescent="0.25">
      <c r="A218" s="61"/>
      <c r="B218" s="132">
        <v>1</v>
      </c>
      <c r="C218" s="133" t="s">
        <v>328</v>
      </c>
      <c r="D218" s="70"/>
      <c r="E218" s="70"/>
      <c r="F218" s="70"/>
      <c r="G218" s="70"/>
    </row>
    <row r="219" spans="1:7" ht="20.100000000000001" customHeight="1" x14ac:dyDescent="0.25">
      <c r="A219" s="61"/>
      <c r="B219" s="132">
        <v>1</v>
      </c>
      <c r="C219" s="133" t="s">
        <v>329</v>
      </c>
      <c r="D219" s="70"/>
      <c r="E219" s="70"/>
      <c r="F219" s="70"/>
      <c r="G219" s="70"/>
    </row>
    <row r="220" spans="1:7" ht="20.100000000000001" customHeight="1" x14ac:dyDescent="0.25">
      <c r="A220" s="61"/>
      <c r="B220" s="130">
        <v>1</v>
      </c>
      <c r="C220" s="133" t="s">
        <v>330</v>
      </c>
      <c r="D220" s="70"/>
      <c r="E220" s="70"/>
      <c r="F220" s="70"/>
      <c r="G220" s="70"/>
    </row>
    <row r="221" spans="1:7" ht="20.100000000000001" customHeight="1" x14ac:dyDescent="0.25">
      <c r="A221" s="61"/>
      <c r="B221" s="132">
        <v>1</v>
      </c>
      <c r="C221" s="133" t="s">
        <v>331</v>
      </c>
      <c r="D221" s="70"/>
      <c r="E221" s="70"/>
      <c r="F221" s="70"/>
      <c r="G221" s="70"/>
    </row>
    <row r="222" spans="1:7" ht="20.100000000000001" customHeight="1" x14ac:dyDescent="0.25">
      <c r="A222" s="61"/>
      <c r="B222" s="132">
        <v>1</v>
      </c>
      <c r="C222" s="133" t="s">
        <v>332</v>
      </c>
      <c r="D222" s="70"/>
      <c r="E222" s="70"/>
      <c r="F222" s="70"/>
      <c r="G222" s="70"/>
    </row>
    <row r="223" spans="1:7" ht="20.100000000000001" customHeight="1" x14ac:dyDescent="0.25">
      <c r="A223" s="61"/>
      <c r="B223" s="132"/>
      <c r="C223" s="133" t="s">
        <v>62</v>
      </c>
      <c r="D223" s="70"/>
      <c r="E223" s="70"/>
      <c r="F223" s="70"/>
      <c r="G223" s="70"/>
    </row>
    <row r="224" spans="1:7" ht="20.100000000000001" customHeight="1" x14ac:dyDescent="0.25">
      <c r="A224" s="61"/>
      <c r="B224" s="129">
        <v>14</v>
      </c>
      <c r="C224" s="133"/>
      <c r="D224" s="70"/>
      <c r="E224" s="70"/>
      <c r="F224" s="70"/>
      <c r="G224" s="70"/>
    </row>
    <row r="225" spans="1:7" ht="20.100000000000001" customHeight="1" x14ac:dyDescent="0.25">
      <c r="A225" s="61"/>
      <c r="B225" s="95"/>
      <c r="C225" s="97"/>
      <c r="D225" s="70"/>
      <c r="E225" s="70"/>
      <c r="F225" s="70"/>
      <c r="G225" s="70"/>
    </row>
    <row r="226" spans="1:7" ht="20.100000000000001" customHeight="1" x14ac:dyDescent="0.25">
      <c r="A226" s="61"/>
      <c r="B226" s="46">
        <v>1</v>
      </c>
      <c r="C226" s="55" t="s">
        <v>466</v>
      </c>
      <c r="D226" s="71"/>
      <c r="E226" s="71"/>
      <c r="F226" s="71"/>
      <c r="G226"/>
    </row>
    <row r="227" spans="1:7" ht="20.100000000000001" customHeight="1" x14ac:dyDescent="0.2">
      <c r="A227" s="80"/>
      <c r="B227" s="46">
        <v>2</v>
      </c>
      <c r="C227" s="55" t="s">
        <v>465</v>
      </c>
      <c r="D227" s="80"/>
      <c r="E227" s="80"/>
      <c r="F227" s="80"/>
      <c r="G227" s="80"/>
    </row>
    <row r="228" spans="1:7" ht="20.100000000000001" customHeight="1" x14ac:dyDescent="0.25">
      <c r="A228" s="80"/>
      <c r="B228" s="50">
        <v>3</v>
      </c>
      <c r="C228" s="55"/>
      <c r="D228" s="80"/>
      <c r="E228" s="80"/>
      <c r="F228" s="80"/>
      <c r="G228" s="80"/>
    </row>
    <row r="229" spans="1:7" ht="20.100000000000001" customHeight="1" x14ac:dyDescent="0.2">
      <c r="A229" s="80"/>
      <c r="B229" s="57"/>
      <c r="C229" s="80"/>
      <c r="D229" s="80"/>
      <c r="E229" s="80"/>
      <c r="F229" s="80"/>
      <c r="G229" s="80"/>
    </row>
    <row r="230" spans="1:7" ht="20.100000000000001" customHeight="1" x14ac:dyDescent="0.2">
      <c r="A230" s="80"/>
      <c r="B230" s="80"/>
      <c r="C230" s="80"/>
      <c r="D230" s="80"/>
      <c r="E230" s="80"/>
      <c r="F230" s="80"/>
      <c r="G230" s="80"/>
    </row>
    <row r="231" spans="1:7" ht="20.100000000000001" customHeight="1" x14ac:dyDescent="0.2">
      <c r="B231" s="10"/>
      <c r="C231" s="79" t="s">
        <v>15</v>
      </c>
      <c r="D231" s="80"/>
      <c r="E231" s="80"/>
      <c r="F231" s="80"/>
      <c r="G231" s="80"/>
    </row>
    <row r="232" spans="1:7" ht="20.100000000000001" customHeight="1" x14ac:dyDescent="0.2">
      <c r="B232" s="10"/>
      <c r="C232" s="80"/>
      <c r="D232" s="80"/>
      <c r="E232" s="80"/>
      <c r="F232" s="80"/>
      <c r="G232" s="80"/>
    </row>
    <row r="233" spans="1:7" ht="20.100000000000001" customHeight="1" x14ac:dyDescent="0.2">
      <c r="B233" s="10"/>
      <c r="C233" s="80"/>
      <c r="D233" s="80"/>
      <c r="E233" s="80"/>
      <c r="F233" s="80"/>
      <c r="G233" s="80"/>
    </row>
    <row r="234" spans="1:7" ht="20.100000000000001" customHeight="1" x14ac:dyDescent="0.2">
      <c r="B234" s="10"/>
      <c r="C234" s="80"/>
      <c r="D234" s="80"/>
      <c r="E234" s="80"/>
      <c r="F234" s="80"/>
      <c r="G234" s="80"/>
    </row>
    <row r="235" spans="1:7" ht="20.100000000000001" customHeight="1" x14ac:dyDescent="0.2">
      <c r="B235" s="10"/>
      <c r="C235" s="79" t="s">
        <v>16</v>
      </c>
      <c r="D235" s="80"/>
      <c r="E235" s="80"/>
      <c r="F235" s="80"/>
      <c r="G235" s="80"/>
    </row>
    <row r="236" spans="1:7" ht="20.100000000000001" customHeight="1" x14ac:dyDescent="0.2">
      <c r="B236" s="10"/>
      <c r="C236" s="80"/>
      <c r="D236" s="80"/>
      <c r="E236" s="80"/>
      <c r="F236" s="80"/>
      <c r="G236" s="80"/>
    </row>
    <row r="237" spans="1:7" ht="20.100000000000001" customHeight="1" x14ac:dyDescent="0.2">
      <c r="B237" s="10"/>
      <c r="C237" s="72"/>
      <c r="D237" s="72"/>
      <c r="E237" s="80"/>
      <c r="F237" s="73"/>
      <c r="G237" s="73"/>
    </row>
    <row r="238" spans="1:7" ht="20.100000000000001" customHeight="1" x14ac:dyDescent="0.2">
      <c r="B238" s="10"/>
      <c r="C238" s="79" t="s">
        <v>63</v>
      </c>
      <c r="D238" s="80"/>
      <c r="E238" s="80"/>
      <c r="F238" s="73"/>
      <c r="G238" s="74"/>
    </row>
    <row r="239" spans="1:7" ht="20.100000000000001" customHeight="1" x14ac:dyDescent="0.2">
      <c r="B239" s="10"/>
      <c r="C239" s="61"/>
      <c r="D239" s="75"/>
      <c r="E239" s="80"/>
      <c r="F239" s="71"/>
      <c r="G239" s="74"/>
    </row>
    <row r="240" spans="1:7" ht="20.100000000000001" customHeight="1" x14ac:dyDescent="0.2">
      <c r="B240" s="10"/>
      <c r="C240" s="61"/>
      <c r="D240" s="75"/>
      <c r="E240" s="80"/>
      <c r="F240" s="71"/>
      <c r="G240" s="74"/>
    </row>
    <row r="241" spans="2:7" ht="20.100000000000001" customHeight="1" x14ac:dyDescent="0.2">
      <c r="B241" s="10"/>
      <c r="C241" s="79" t="s">
        <v>17</v>
      </c>
      <c r="D241" s="75"/>
      <c r="E241" s="80"/>
      <c r="F241" s="71"/>
      <c r="G241" s="74"/>
    </row>
    <row r="242" spans="2:7" ht="20.100000000000001" customHeight="1" x14ac:dyDescent="0.2">
      <c r="B242" s="10"/>
      <c r="C242" s="61"/>
      <c r="D242" s="75"/>
      <c r="E242" s="80"/>
      <c r="F242" s="71"/>
      <c r="G242" s="74"/>
    </row>
    <row r="243" spans="2:7" ht="20.100000000000001" customHeight="1" x14ac:dyDescent="0.2">
      <c r="B243" s="10"/>
      <c r="C243" s="74"/>
      <c r="D243" s="76"/>
      <c r="E243" s="80"/>
      <c r="F243" s="74"/>
      <c r="G243" s="74"/>
    </row>
    <row r="244" spans="2:7" ht="20.100000000000001" customHeight="1" x14ac:dyDescent="0.25">
      <c r="B244" s="10"/>
      <c r="C244" s="79" t="s">
        <v>18</v>
      </c>
      <c r="D244"/>
      <c r="E244" s="80"/>
      <c r="F244"/>
      <c r="G244" s="74"/>
    </row>
    <row r="245" spans="2:7" ht="20.100000000000001" customHeight="1" x14ac:dyDescent="0.2">
      <c r="E245" s="80"/>
    </row>
    <row r="246" spans="2:7" ht="20.100000000000001" customHeight="1" x14ac:dyDescent="0.2">
      <c r="E246" s="80"/>
    </row>
    <row r="247" spans="2:7" ht="20.100000000000001" customHeight="1" x14ac:dyDescent="0.2">
      <c r="E247" s="80"/>
    </row>
    <row r="248" spans="2:7" ht="20.100000000000001" customHeight="1" x14ac:dyDescent="0.2">
      <c r="E248" s="80"/>
    </row>
    <row r="249" spans="2:7" ht="20.100000000000001" customHeight="1" x14ac:dyDescent="0.2">
      <c r="E249" s="80"/>
    </row>
    <row r="250" spans="2:7" ht="20.100000000000001" customHeight="1" x14ac:dyDescent="0.2">
      <c r="E250" s="80"/>
    </row>
    <row r="251" spans="2:7" ht="20.100000000000001" customHeight="1" x14ac:dyDescent="0.2">
      <c r="E251" s="80"/>
    </row>
    <row r="252" spans="2:7" ht="20.100000000000001" customHeight="1" x14ac:dyDescent="0.2">
      <c r="E252" s="80"/>
    </row>
    <row r="253" spans="2:7" ht="20.100000000000001" customHeight="1" x14ac:dyDescent="0.2">
      <c r="E253" s="80"/>
    </row>
    <row r="254" spans="2:7" ht="20.100000000000001" customHeight="1" x14ac:dyDescent="0.2">
      <c r="E254" s="80"/>
    </row>
    <row r="255" spans="2:7" ht="20.100000000000001" customHeight="1" x14ac:dyDescent="0.2">
      <c r="E255" s="80"/>
    </row>
    <row r="256" spans="2:7" ht="20.100000000000001" customHeight="1" x14ac:dyDescent="0.2">
      <c r="E256" s="80"/>
    </row>
    <row r="257" spans="5:5" ht="20.100000000000001" customHeight="1" x14ac:dyDescent="0.2">
      <c r="E257" s="80"/>
    </row>
    <row r="258" spans="5:5" ht="20.100000000000001" customHeight="1" x14ac:dyDescent="0.2">
      <c r="E258" s="80"/>
    </row>
    <row r="259" spans="5:5" ht="20.100000000000001" customHeight="1" x14ac:dyDescent="0.2">
      <c r="E259" s="80"/>
    </row>
    <row r="260" spans="5:5" ht="20.100000000000001" customHeight="1" x14ac:dyDescent="0.2">
      <c r="E260" s="80"/>
    </row>
    <row r="261" spans="5:5" ht="20.100000000000001" customHeight="1" x14ac:dyDescent="0.2">
      <c r="E261" s="80"/>
    </row>
    <row r="262" spans="5:5" ht="20.100000000000001" customHeight="1" x14ac:dyDescent="0.2">
      <c r="E262" s="80"/>
    </row>
    <row r="263" spans="5:5" ht="20.100000000000001" customHeight="1" x14ac:dyDescent="0.2">
      <c r="E263" s="80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6">
    <mergeCell ref="A11:B11"/>
    <mergeCell ref="M5:N6"/>
    <mergeCell ref="D2:E2"/>
    <mergeCell ref="C4:C5"/>
    <mergeCell ref="C2:C3"/>
    <mergeCell ref="A160:C160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59</v>
      </c>
      <c r="B1" s="38" t="s">
        <v>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40</v>
      </c>
    </row>
    <row r="2" spans="1:1" x14ac:dyDescent="0.25">
      <c r="A2" t="s">
        <v>41</v>
      </c>
    </row>
    <row r="3" spans="1:1" x14ac:dyDescent="0.25">
      <c r="A3" t="s">
        <v>42</v>
      </c>
    </row>
    <row r="4" spans="1:1" x14ac:dyDescent="0.25">
      <c r="A4" t="s">
        <v>43</v>
      </c>
    </row>
    <row r="5" spans="1:1" x14ac:dyDescent="0.25">
      <c r="A5" t="s">
        <v>44</v>
      </c>
    </row>
    <row r="6" spans="1:1" x14ac:dyDescent="0.25">
      <c r="A6" t="s">
        <v>45</v>
      </c>
    </row>
    <row r="7" spans="1:1" x14ac:dyDescent="0.25">
      <c r="A7" t="s">
        <v>46</v>
      </c>
    </row>
    <row r="8" spans="1:1" x14ac:dyDescent="0.25">
      <c r="A8" t="s">
        <v>47</v>
      </c>
    </row>
    <row r="9" spans="1:1" x14ac:dyDescent="0.25">
      <c r="A9" t="s">
        <v>48</v>
      </c>
    </row>
    <row r="10" spans="1:1" x14ac:dyDescent="0.25">
      <c r="A10" t="s">
        <v>49</v>
      </c>
    </row>
    <row r="11" spans="1:1" x14ac:dyDescent="0.25">
      <c r="A11" t="s">
        <v>50</v>
      </c>
    </row>
    <row r="12" spans="1:1" x14ac:dyDescent="0.25">
      <c r="A12" t="s">
        <v>51</v>
      </c>
    </row>
    <row r="13" spans="1:1" x14ac:dyDescent="0.25">
      <c r="A13" t="s">
        <v>52</v>
      </c>
    </row>
    <row r="14" spans="1:1" x14ac:dyDescent="0.25">
      <c r="A14" t="s">
        <v>53</v>
      </c>
    </row>
    <row r="15" spans="1:1" x14ac:dyDescent="0.25">
      <c r="A15" t="s">
        <v>54</v>
      </c>
    </row>
    <row r="16" spans="1:1" x14ac:dyDescent="0.25">
      <c r="A16" t="s">
        <v>55</v>
      </c>
    </row>
    <row r="17" spans="1:1" x14ac:dyDescent="0.25">
      <c r="A17" t="s">
        <v>56</v>
      </c>
    </row>
    <row r="18" spans="1:1" x14ac:dyDescent="0.25">
      <c r="A18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2023-05-03T02:46:05Z</cp:lastPrinted>
  <dcterms:created xsi:type="dcterms:W3CDTF">2023-01-26T13:28:36Z</dcterms:created>
  <dcterms:modified xsi:type="dcterms:W3CDTF">2023-05-03T02:47:31Z</dcterms:modified>
</cp:coreProperties>
</file>