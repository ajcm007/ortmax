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SOLCA\"/>
    </mc:Choice>
  </mc:AlternateContent>
  <xr:revisionPtr revIDLastSave="0" documentId="13_ncr:1_{CA309E38-5C9B-42D3-AFDD-14490AA59F8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3" sheetId="5" r:id="rId2"/>
    <sheet name="Hoja4" sheetId="4" state="hidden" r:id="rId3"/>
    <sheet name="Hoja2" sheetId="2" state="hidden" r:id="rId4"/>
  </sheets>
  <definedNames>
    <definedName name="_xlnm.Print_Area" localSheetId="0">Hoja1!$A$2:$E$23</definedName>
    <definedName name="_xlnm.Print_Area" localSheetId="1">Hoja3!$A$1:$G$46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91029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3" i="1" l="1"/>
  <c r="D187" i="1"/>
  <c r="D171" i="1"/>
  <c r="D155" i="1"/>
  <c r="D128" i="1"/>
  <c r="D101" i="1" l="1"/>
  <c r="D95" i="1"/>
  <c r="D86" i="1"/>
  <c r="D75" i="1"/>
  <c r="D65" i="1"/>
  <c r="D57" i="1"/>
  <c r="D49" i="1"/>
  <c r="D42" i="1"/>
  <c r="D32" i="1"/>
  <c r="G126" i="1" l="1"/>
  <c r="G127" i="1" s="1"/>
  <c r="G12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00000000-0006-0000-0000-000002000000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00000000-0006-0000-0000-000003000000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62CE35EA-14E0-416B-81A3-E4A890D1A0C1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F731DA89-FA80-459F-993E-1649882E373A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1B4D9627-EE9E-4649-B959-B88CE77AB773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77EFE3CB-37A5-418C-B220-994594C1AC13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<sst xmlns="http://schemas.openxmlformats.org/spreadsheetml/2006/main" count="628" uniqueCount="501">
  <si>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</si>
  <si>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</si>
  <si>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</si>
  <si>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</si>
  <si>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</si>
  <si>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</si>
  <si>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</si>
  <si>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</si>
  <si>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</si>
  <si>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</si>
  <si>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</si>
  <si>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</si>
  <si>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</si>
  <si>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</si>
  <si>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</si>
  <si>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</si>
  <si>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</si>
  <si>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</si>
  <si>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</si>
  <si>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</si>
  <si>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</si>
  <si>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</si>
  <si>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</si>
  <si>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</si>
  <si>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</si>
  <si>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CANTIDAD</t>
  </si>
  <si>
    <t xml:space="preserve">BANDEJA INFERIOR </t>
  </si>
  <si>
    <t>Fecha de elaboración:</t>
  </si>
  <si>
    <t xml:space="preserve">Vigente hasta: </t>
  </si>
  <si>
    <t>PRECIO UNITARIO</t>
  </si>
  <si>
    <t>PRECIO TOTAL</t>
  </si>
  <si>
    <t xml:space="preserve">SUBTOTAL </t>
  </si>
  <si>
    <t>IVA 12%</t>
  </si>
  <si>
    <t>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</si>
  <si>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</si>
  <si>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</si>
  <si>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</si>
  <si>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</si>
  <si>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</si>
  <si>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</si>
  <si>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</si>
  <si>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</si>
  <si>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</si>
  <si>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</si>
  <si>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</si>
  <si>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</si>
  <si>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</si>
  <si>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</si>
  <si>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</si>
  <si>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</si>
  <si>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</si>
  <si>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</si>
  <si>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</si>
  <si>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</si>
  <si>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DESCRIPCIÓN</t>
  </si>
  <si>
    <t>ADAPTADORES ANCLAJE RAPIDO</t>
  </si>
  <si>
    <t>LLAVE JACOBS</t>
  </si>
  <si>
    <t>INSRUMENTADOR</t>
  </si>
  <si>
    <t>AVENIDA PEDRO MENÉNDEZ GILBERT S/N JUNTO A LA CDLA. ATARAZANA</t>
  </si>
  <si>
    <t xml:space="preserve">SOLCA </t>
  </si>
  <si>
    <t xml:space="preserve">DR. ARMIJOS </t>
  </si>
  <si>
    <t>0992238208001</t>
  </si>
  <si>
    <t>JPC</t>
  </si>
  <si>
    <t xml:space="preserve">8:00AM </t>
  </si>
  <si>
    <t xml:space="preserve">NARVAEZ MUÑOZ MARIA </t>
  </si>
  <si>
    <t>SF-161.106R</t>
  </si>
  <si>
    <t>21306</t>
  </si>
  <si>
    <t>PLACA BLOQ. TIBIA PROXIMAL  EN  L 4.5/5.0mm*6 ORIF. DER ACERO</t>
  </si>
  <si>
    <t>749.108R</t>
  </si>
  <si>
    <t>18A4925</t>
  </si>
  <si>
    <t>PLACA BLOQ. TIBIA PROXIMAL  EN  L 4.5/5.0mm*7 ORIF. DER ACERO</t>
  </si>
  <si>
    <t>SF-161.108R</t>
  </si>
  <si>
    <t>PLACA BLOQ. TIBIA PROXIMAL  EN  L 4.5/5.0mm*8 ORIF. DER ACERO</t>
  </si>
  <si>
    <t>706.209R</t>
  </si>
  <si>
    <t>28133</t>
  </si>
  <si>
    <t>PLACA BLOQ. TIBIA PROXIMAL  EN  L 4.5/5.0mm*9 ORIF. DER ACERO</t>
  </si>
  <si>
    <t>SF-161.110R</t>
  </si>
  <si>
    <t>11841</t>
  </si>
  <si>
    <t>PLACA BLOQ. TIBIA PROXIMAL  EN  L 4.5/5.0mm*10 ORIF. DER ACERO</t>
  </si>
  <si>
    <t>SF-161.111R</t>
  </si>
  <si>
    <t>PLACA BLOQ. TIBIA PROXIMAL  EN  L 4.5/5.0mm*11 ORIF. DER ACERO</t>
  </si>
  <si>
    <t>SF-161.112R</t>
  </si>
  <si>
    <t>28129</t>
  </si>
  <si>
    <t>PLACA BLOQ. TIBIA PROXIMAL  EN  L 4.5/5.0mm*12 ORIF. DER ACERO</t>
  </si>
  <si>
    <t>SF-161.114R</t>
  </si>
  <si>
    <t>PLACA BLOQ. TIBIA PROXIMAL  EN  L 4.5/5.0mm*14 ORIF. DER ACERO</t>
  </si>
  <si>
    <t>SF-161.134L</t>
  </si>
  <si>
    <t>PLACA BLOQ. TIBIA PROXIMAL EN L 4.5/5.0mm*4 ORIF. IZQ ACERO</t>
  </si>
  <si>
    <t>SF-161.135L</t>
  </si>
  <si>
    <t>PLACA BLOQ. TIBIA PROXIMAL EN L 4.5/5.0mm*5 ORIF. IZQ ACERO</t>
  </si>
  <si>
    <t>SF-161.136L</t>
  </si>
  <si>
    <t>PLACA BLOQ. TIBIA PROXIMAL EN L 4.5/5.0mm*6 ORIF. IZQ ACERO</t>
  </si>
  <si>
    <t>SF-161.137L</t>
  </si>
  <si>
    <t>21304</t>
  </si>
  <si>
    <t>PLACA BLOQ. TIBIA PROXIMAL EN L 4.5/5.0mm*7 ORIF. IZQ ACERO</t>
  </si>
  <si>
    <t>SF-161.138L</t>
  </si>
  <si>
    <t>PLACA BLOQ. TIBIA PROXIMAL EN L 4.5/5.0mm*8 ORIF. IZQ ACERO</t>
  </si>
  <si>
    <t>SF-161.139L</t>
  </si>
  <si>
    <t>PLACA BLOQ. TIBIA PROXIMAL EN L 4.5/5.0mm*9 ORIF. IZQ ACERO</t>
  </si>
  <si>
    <t>SF-161.140L</t>
  </si>
  <si>
    <t>PLACA BLOQ. TIBIA PROXIMAL EN L 4.5/5.0mm*10 ORIF. IZQ ACERO</t>
  </si>
  <si>
    <t>SF-161.141L</t>
  </si>
  <si>
    <t>PLACA BLOQ. TIBIA PROXIMAL EN L 4.5/5.0mm*12 ORIF. IZQ ACERO</t>
  </si>
  <si>
    <t>SF-161.142L</t>
  </si>
  <si>
    <t>PLACA BLOQ. TIBIA PROXIMAL EN L 4.5/5.0mm*14 ORIF. IZQ ACERO</t>
  </si>
  <si>
    <t>SF-653.004R</t>
  </si>
  <si>
    <t xml:space="preserve">PLACA BLOQ. TIBIA PROXIMAL  MEDIAL 4.5/5.0mm*4 ORIF.  DER. ACERO </t>
  </si>
  <si>
    <t>SF-653.006R</t>
  </si>
  <si>
    <t xml:space="preserve">PLACA BLOQ.  TIBIA PROXIMAL  MEDIA 4.5/5.0mm*6 ORIF.   DER. ACERO </t>
  </si>
  <si>
    <t>SF-653.008R</t>
  </si>
  <si>
    <t xml:space="preserve">PLACA BLOQ. TIBIA PROXIMAL  MEDIAL 4.5/5.0mm*8 ORIF.  DER. ACERO </t>
  </si>
  <si>
    <t>SF-653.010R</t>
  </si>
  <si>
    <t xml:space="preserve">PLACA BLOQ. TIBIA PROXIMAL  MEDIAL 4.5/5.0mm*10 ORIF.DER. ACERO </t>
  </si>
  <si>
    <t>SF-653.012R</t>
  </si>
  <si>
    <t xml:space="preserve">PLACA BLOQ. TIBIA PROXIMAL  MEDIAL 4.5/5.0mm*12 ORIF. DER. ACERO </t>
  </si>
  <si>
    <t>SF-653.014R</t>
  </si>
  <si>
    <t xml:space="preserve">PLACA BLOQ. TIBIA PROXIMAL  MEDIAL 4.5/5.0mm* 14 ORIF. DER. ACERO </t>
  </si>
  <si>
    <t>SF-653.004L</t>
  </si>
  <si>
    <t xml:space="preserve">PLACA BLOQ. TIBIA PROXIMAL  MEDIAL 4.5/5.0mm*04 ORIF. IZQ. ACERO </t>
  </si>
  <si>
    <t>SF-653.006L</t>
  </si>
  <si>
    <t xml:space="preserve">PLACA BLOQ. TIBIA PROXIMAL  MEDIAL 4.5/5.0mm* 6 ORIF.  IZQ. ACERO </t>
  </si>
  <si>
    <t>SF-653.008L</t>
  </si>
  <si>
    <t xml:space="preserve">PLACA BLOQ. TIBIA PROXIMAL  MEDIAL 4.5/5.0mm* 8 ORIF.  IZQ. ACERO </t>
  </si>
  <si>
    <t>SF-653.010L</t>
  </si>
  <si>
    <t>190906802</t>
  </si>
  <si>
    <t xml:space="preserve">PLACA BLOQ. TIBIA PROXIMAL  MEDIAL 4.5/5.0mm* 10 ORIF.  IZQ. ACERO </t>
  </si>
  <si>
    <t>SF-653.012L</t>
  </si>
  <si>
    <t>190906805</t>
  </si>
  <si>
    <t xml:space="preserve">PLACA BLOQ. TIBIA PROXIMAL  MEDIAL 4.5/5.0mm* 12 ORIF.  IZQ. ACERO </t>
  </si>
  <si>
    <t>SF-653.014L</t>
  </si>
  <si>
    <t>200112143</t>
  </si>
  <si>
    <t xml:space="preserve">PLACA BLOQ. TIBIA PROXIMAL  MEDIAL 4.5/5.0mm* 14 ORIF.  IZQ. ACERO </t>
  </si>
  <si>
    <t>SF-653.016L</t>
  </si>
  <si>
    <t>28136</t>
  </si>
  <si>
    <t xml:space="preserve">PLACA BLOQ. TIBIA PROXIMAL  MEDIAL 4.5/5.0mm* 16 ORIF.  IZQ. ACERO </t>
  </si>
  <si>
    <t>SF-160.107</t>
  </si>
  <si>
    <t>A7713</t>
  </si>
  <si>
    <t>PLACA BLOQ. SOSTEN  EN T 5.0mm*07 ORIF. ACERO</t>
  </si>
  <si>
    <t>SF-160.108</t>
  </si>
  <si>
    <t>PLACA BLOQ. SOSTEN  EN T 5.0mm*08 ORIF. ACERO</t>
  </si>
  <si>
    <t>SF-160.109</t>
  </si>
  <si>
    <t>60277</t>
  </si>
  <si>
    <t>PLACA BLOQ. SOSTEN  EN T 5.0mm*09 ORIF. ACERO</t>
  </si>
  <si>
    <t>SF-160.110</t>
  </si>
  <si>
    <t>PLACA BLOQ. SOSTEN  EN T 5.0mm*10 ORIF. ACERO</t>
  </si>
  <si>
    <t>SF-160.112</t>
  </si>
  <si>
    <t>PLACA BLOQ. SOSTEN  EN T 5.0mm*12 ORIF. ACERO</t>
  </si>
  <si>
    <t>SF-160.114</t>
  </si>
  <si>
    <t>PLACA BLOQ. SOSTEN  EN T 5.0mm*14 ORIF. ACERO</t>
  </si>
  <si>
    <t>SF-160.116</t>
  </si>
  <si>
    <t>PLACA BLOQ. SOSTEN  EN T 5.0mm*16 ORIF. ACERO</t>
  </si>
  <si>
    <t>SF-165.304R</t>
  </si>
  <si>
    <t>PLACA BLOQ. PALO DE GOLF 4.5/5.0mm*4 ORIF. DER ACERO</t>
  </si>
  <si>
    <t>SF-165.305R</t>
  </si>
  <si>
    <t>PLACA BLOQ. PALO DE GOLF 4.5/5.0mm*5 ORIF. DER ACERO</t>
  </si>
  <si>
    <t>SF-165.306R</t>
  </si>
  <si>
    <t>PLACA BLOQ. PALO DE GOLF 4.5/5.0mm*6 ORIF. DER ACERO</t>
  </si>
  <si>
    <t>SF-165.307R</t>
  </si>
  <si>
    <t>PLACA BLOQ. PALO DE GOLF 4.5/5.0mm*7 ORIF. DER ACERO</t>
  </si>
  <si>
    <t>SF-165.308R</t>
  </si>
  <si>
    <t>PLACA BLOQ. PALO DE GOLF 4.5/5.0mm*8 ORIF. DER ACERO</t>
  </si>
  <si>
    <t>SF-165.309R</t>
  </si>
  <si>
    <t>PLACA BLOQ. PALO DE GOLF 4.5/5.0mm*9 ORIF. DER ACERO</t>
  </si>
  <si>
    <t>SF-165.310R</t>
  </si>
  <si>
    <t>PLACA BLOQ. PALO DE GOLF 4.5/5.0mm*10 ORIF. DER ACERO</t>
  </si>
  <si>
    <t>SF-165.311R</t>
  </si>
  <si>
    <t>PLACA BLOQ. PALO DE GOLF 4.5/5.0mm*11 ORIF. DER ACERO</t>
  </si>
  <si>
    <t>SF-165.313R</t>
  </si>
  <si>
    <t>PLACA BLOQ. PALO DE GOLF 4.5/5.0mm*13 ORIF. DER ACERO</t>
  </si>
  <si>
    <t>SF-165.404L</t>
  </si>
  <si>
    <t>PLACA BLOQ. PALO DE GOLF 4.5/5.0mm*4 ORIF. IZQ  ACERO</t>
  </si>
  <si>
    <t>SF-165.405L</t>
  </si>
  <si>
    <t>PLACA BLOQ. PALO DE GOLF 4.5/5.0mm*5 ORIF. IZQ  ACERO</t>
  </si>
  <si>
    <t>SF-165.406L</t>
  </si>
  <si>
    <t>PLACA BLOQ. PALO DE GOLF 4.5/5.0mm*6 ORIF. IZQ  ACERO</t>
  </si>
  <si>
    <t>SF-165.407L</t>
  </si>
  <si>
    <t>PLACA BLOQ. PALO DE GOLF 4.5/5.0mm*7 ORIF. IZQ  ACERO</t>
  </si>
  <si>
    <t>SF-165.408L</t>
  </si>
  <si>
    <t>PLACA BLOQ. PALO DE GOLF 4.5/5.0mm*8 ORIF. IZQ  ACERO</t>
  </si>
  <si>
    <t>SF-165.409L</t>
  </si>
  <si>
    <t>210126672</t>
  </si>
  <si>
    <t>PLACA BLOQ. PALO DE GOLF 4.5/5.0mm*9 ORIF. IZQ  ACERO</t>
  </si>
  <si>
    <t>SF-165.410L</t>
  </si>
  <si>
    <t>210126674</t>
  </si>
  <si>
    <t>PLACA BLOQ. PALO DE GOLF 4.5/5.0mm*10 ORIF. IZQ  ACERO</t>
  </si>
  <si>
    <t>SF-165.411L</t>
  </si>
  <si>
    <t>PLACA BLOQ. PALO DE GOLF 4.5/5.0mm*11 ORIF. IZQ  ACERO</t>
  </si>
  <si>
    <t>SF-165.412L</t>
  </si>
  <si>
    <t>PLACA BLOQ. PALO DE GOLF 4.5/5.0mm*12 ORIF. IZQ  ACERO</t>
  </si>
  <si>
    <t>SF-165.413L</t>
  </si>
  <si>
    <t>PLACA BLOQ. PALO DE GOLF 4.5/5.0mm*13 ORIF. IZQ  ACERO</t>
  </si>
  <si>
    <t>106.222</t>
  </si>
  <si>
    <t xml:space="preserve">TORNILLO CORTICAL 4.5 *22mm ACERO </t>
  </si>
  <si>
    <t>106.224</t>
  </si>
  <si>
    <t xml:space="preserve">TORNILLO CORTICAL 4.5 *24mm ACERO </t>
  </si>
  <si>
    <t>106.226</t>
  </si>
  <si>
    <t xml:space="preserve">TORNILLO CORTICAL 4.5 *26mm ACERO </t>
  </si>
  <si>
    <t>106.228</t>
  </si>
  <si>
    <t xml:space="preserve">TORNILLO CORTICAL 4.5 *28mm ACERO </t>
  </si>
  <si>
    <t>106.230</t>
  </si>
  <si>
    <t xml:space="preserve">TORNILLO CORTICAL 4.5 *30mm ACERO </t>
  </si>
  <si>
    <t>106.232</t>
  </si>
  <si>
    <t>210936106</t>
  </si>
  <si>
    <t xml:space="preserve">TORNILLO CORTICAL 4.5 *32mm ACERO </t>
  </si>
  <si>
    <t>106.234</t>
  </si>
  <si>
    <t xml:space="preserve">TORNILLO CORTICAL 4.5 *34mm ACERO </t>
  </si>
  <si>
    <t>106.236</t>
  </si>
  <si>
    <t xml:space="preserve">TORNILLO CORTICAL 4.5 *36mm ACERO </t>
  </si>
  <si>
    <t>106.238</t>
  </si>
  <si>
    <t xml:space="preserve">TORNILLO CORTICAL 4.5 *38mm ACERO </t>
  </si>
  <si>
    <t>106.240</t>
  </si>
  <si>
    <t xml:space="preserve">TORNILLO CORTICAL 4.5 *40mm ACERO </t>
  </si>
  <si>
    <t>106.242</t>
  </si>
  <si>
    <t xml:space="preserve">TORNILLO CORTICAL 4.5 *42mm ACERO </t>
  </si>
  <si>
    <t>106.244</t>
  </si>
  <si>
    <t xml:space="preserve">TORNILLO CORTICAL 4.5 *44mm ACERO </t>
  </si>
  <si>
    <t>106.246</t>
  </si>
  <si>
    <t xml:space="preserve">TORNILLO CORTICAL 4.5 *46mm ACERO </t>
  </si>
  <si>
    <t>106.248</t>
  </si>
  <si>
    <t xml:space="preserve">TORNILLO CORTICAL 4.5 *48 MM ACERO </t>
  </si>
  <si>
    <t>106.250</t>
  </si>
  <si>
    <t xml:space="preserve">TORNILLO CORTICAL 4.5 *50mm ACERO </t>
  </si>
  <si>
    <t>106.252</t>
  </si>
  <si>
    <t xml:space="preserve">TORNILLO CORTICAL 4.5 *52mm ACERO </t>
  </si>
  <si>
    <t>106.254</t>
  </si>
  <si>
    <t xml:space="preserve">TORNILLO CORTICAL 4.5 *54mm ACERO </t>
  </si>
  <si>
    <t>106.256</t>
  </si>
  <si>
    <t xml:space="preserve">TORNILLO CORTICAL 4.5 *56mm ACERO </t>
  </si>
  <si>
    <t>106.258</t>
  </si>
  <si>
    <t xml:space="preserve">TORNILLO CORTICAL 4.5 *58mm ACERO </t>
  </si>
  <si>
    <t>106.260</t>
  </si>
  <si>
    <t xml:space="preserve">TORNILLO CORTICAL 4.5 *60mm ACERO </t>
  </si>
  <si>
    <t>106.265</t>
  </si>
  <si>
    <t xml:space="preserve">TORNILLO CORTICAL 4.5 *65mm ACERO </t>
  </si>
  <si>
    <t>106.270</t>
  </si>
  <si>
    <t xml:space="preserve">TORNILLO CORTICAL 4.5 *70mm ACERO </t>
  </si>
  <si>
    <t>106.275</t>
  </si>
  <si>
    <t xml:space="preserve">TORNILLO CORTICAL 4.5 *75mm ACERO </t>
  </si>
  <si>
    <t>106.280</t>
  </si>
  <si>
    <t xml:space="preserve">TORNILLO CORTICAL 4.5 *80mmACERO </t>
  </si>
  <si>
    <t>106.285</t>
  </si>
  <si>
    <t xml:space="preserve">TORNILLO CORTICAL 4.5 *85mm ACERO </t>
  </si>
  <si>
    <t>106.290</t>
  </si>
  <si>
    <t>200112179</t>
  </si>
  <si>
    <t>TORNILLO CORTICAL 4.5*90mm ACERO</t>
  </si>
  <si>
    <t>SF-500.022</t>
  </si>
  <si>
    <t>200215323</t>
  </si>
  <si>
    <t xml:space="preserve">TORNILLO DE  BLOQUEO 5.0*22mm ACERO </t>
  </si>
  <si>
    <t xml:space="preserve">SF-500.024 </t>
  </si>
  <si>
    <t>190602956</t>
  </si>
  <si>
    <t xml:space="preserve">TORNILLO DE  BLOQUEO 5.0*24mm ACERO </t>
  </si>
  <si>
    <t>SF-500.026</t>
  </si>
  <si>
    <t>190602957</t>
  </si>
  <si>
    <t xml:space="preserve">TORNILLO DE  BLOQUEO 5.0*26mm ACERO </t>
  </si>
  <si>
    <t>SF-500.028</t>
  </si>
  <si>
    <t xml:space="preserve">TORNILLO DE  BLOQUEO 5.0*28mm ACERO </t>
  </si>
  <si>
    <t>SF-500.030</t>
  </si>
  <si>
    <t>210733778</t>
  </si>
  <si>
    <t xml:space="preserve">TORNILLO DE  BLOQUEO 5.0*30mm ACERO </t>
  </si>
  <si>
    <t>SF-500.032</t>
  </si>
  <si>
    <t>190906305</t>
  </si>
  <si>
    <t xml:space="preserve">TORNILLO DE  BLOQUEO 5.0*32mm ACERO </t>
  </si>
  <si>
    <t>SF-500.034</t>
  </si>
  <si>
    <t>190906307</t>
  </si>
  <si>
    <t xml:space="preserve">TORNILLO DE  BLOQUEO 5.0 *34mm ACERO </t>
  </si>
  <si>
    <t>SF-500.036</t>
  </si>
  <si>
    <t>190906309</t>
  </si>
  <si>
    <t xml:space="preserve">TORNILLO DE  BLOQUEO 5.0*36mm ACERO </t>
  </si>
  <si>
    <t>SF-500.038</t>
  </si>
  <si>
    <t>190906311</t>
  </si>
  <si>
    <t xml:space="preserve">TORNILLO DE  BLOQUEO 5.0*38mm ACERO </t>
  </si>
  <si>
    <t>SF-500.040</t>
  </si>
  <si>
    <t xml:space="preserve">TORNILLO DE  BLOQUEO 5.0*40mm ACERO </t>
  </si>
  <si>
    <t>SF-500.042</t>
  </si>
  <si>
    <t xml:space="preserve">TORNILLO DE  BLOQUEO 5.0*42mm ACERO </t>
  </si>
  <si>
    <t>SF-500.044</t>
  </si>
  <si>
    <t xml:space="preserve">TORNILLO DE  BLOQUEO 5.0*44mm ACERO </t>
  </si>
  <si>
    <t>SF-500.046</t>
  </si>
  <si>
    <t xml:space="preserve">TORNILLO DE  BLOQUEO 5.0*46mm ACERO </t>
  </si>
  <si>
    <t>SF-500.048</t>
  </si>
  <si>
    <t>190906301</t>
  </si>
  <si>
    <t xml:space="preserve">TORNILLO DE  BLOQUEO 5.0*48mm ACERO </t>
  </si>
  <si>
    <t>SF-500.050</t>
  </si>
  <si>
    <t>200112093</t>
  </si>
  <si>
    <t xml:space="preserve">TORNILLO DE  BLOQUEO 5.0*50mm ACERO </t>
  </si>
  <si>
    <t>SF-500.052</t>
  </si>
  <si>
    <t xml:space="preserve">TORNILLO DE  BLOQUEO 5.0*52mm ACERO </t>
  </si>
  <si>
    <t>SF-500.054</t>
  </si>
  <si>
    <t xml:space="preserve">TORNILLO DE  BLOQUEO 5.0*54mm ACERO </t>
  </si>
  <si>
    <t>SF-500.056</t>
  </si>
  <si>
    <t xml:space="preserve">TORNILLO DE  BLOQUEO 5.0*56mm ACERO </t>
  </si>
  <si>
    <t>SF-500.058</t>
  </si>
  <si>
    <t>190906333</t>
  </si>
  <si>
    <t xml:space="preserve">TORNILLO DE  BLOQUEO 5.0*58mm ACERO </t>
  </si>
  <si>
    <t>SF-500.060</t>
  </si>
  <si>
    <t xml:space="preserve">TORNILLO DE  BLOQUEO 5.0*60mm ACERO </t>
  </si>
  <si>
    <t>SF-500.065</t>
  </si>
  <si>
    <t xml:space="preserve">TORNILLO DE  BLOQUEO 5.0*65mm ACERO </t>
  </si>
  <si>
    <t>SF-500.070</t>
  </si>
  <si>
    <t xml:space="preserve">TORNILLO DE  BLOQUEO 5.0*70mm ACERO </t>
  </si>
  <si>
    <t>SF-500.075</t>
  </si>
  <si>
    <t xml:space="preserve">TORNILLO DE  BLOQUEO 5.0*75mm ACERO </t>
  </si>
  <si>
    <t>SF-500.080</t>
  </si>
  <si>
    <t xml:space="preserve">TORNILLO DE  BLOQUEO 5.0*80mm ACERO </t>
  </si>
  <si>
    <t>SF-500.085</t>
  </si>
  <si>
    <t xml:space="preserve">TORNILLO DE  BLOQUEO 5.0*85mm ACERO </t>
  </si>
  <si>
    <t>SF-500.090</t>
  </si>
  <si>
    <t xml:space="preserve">TORNILLO DE  BLOQUEO 5.0*90mm ACERO </t>
  </si>
  <si>
    <t>108.030</t>
  </si>
  <si>
    <t>TORNILLOS ESPONJOSOS 6.5* 30mm ROSCA CORTA ACERO</t>
  </si>
  <si>
    <t>108.035</t>
  </si>
  <si>
    <t>190805268</t>
  </si>
  <si>
    <t>TORNILLOS ESPONJOSOS 6.5* 35mm ROSCA CORTA ACERO</t>
  </si>
  <si>
    <t>108.040</t>
  </si>
  <si>
    <t>190805269</t>
  </si>
  <si>
    <t>TORNILLOS ESPONJOSOS 6.5* 40mm ROSCA CORTA ACERO</t>
  </si>
  <si>
    <t>108.045</t>
  </si>
  <si>
    <t>190805270</t>
  </si>
  <si>
    <t>TORNILLOS ESPONJOSOS 6.5* 45mm ROSCA CORTA ACERO</t>
  </si>
  <si>
    <t>108.050</t>
  </si>
  <si>
    <t>190805271</t>
  </si>
  <si>
    <t>TORNILLOS ESPONJOSOS 6.5* 50mm ROSCA CORTA ACERO</t>
  </si>
  <si>
    <t>108.055</t>
  </si>
  <si>
    <t>190805272</t>
  </si>
  <si>
    <t>TORNILLOS ESPONJOSOS 6.5* 55mm ROSCA CORTA ACERO</t>
  </si>
  <si>
    <t>108.060</t>
  </si>
  <si>
    <t>190805273</t>
  </si>
  <si>
    <t>TORNILLOS ESPONJOSOS 6.5* 60mm ROSCA CORTA ACERO</t>
  </si>
  <si>
    <t>108.065</t>
  </si>
  <si>
    <t>190805274</t>
  </si>
  <si>
    <t>TORNILLOS ESPONJOSOS 6.5* 65mm ROSCA CORTA ACERO</t>
  </si>
  <si>
    <t>108.070</t>
  </si>
  <si>
    <t>190805275</t>
  </si>
  <si>
    <t>TORNILLOS ESPONJOSOS 6.5* 70mm ROSCA CORTA ACERO</t>
  </si>
  <si>
    <t>108.075</t>
  </si>
  <si>
    <t>190805276</t>
  </si>
  <si>
    <t>TORNILLOS ESPONJOSOS 6.5* 75mm ROSCA CORTA ACERO</t>
  </si>
  <si>
    <t>108.080</t>
  </si>
  <si>
    <t>190805277</t>
  </si>
  <si>
    <t>TORNILLOS ESPONJOSOS 6.5* 80mm ROSCA CORTA ACERO</t>
  </si>
  <si>
    <t>108.085</t>
  </si>
  <si>
    <t>190805278</t>
  </si>
  <si>
    <t>TORNILLOS ESPONJOSOS 6.5* 85mm ROSCA CORTA ACERO</t>
  </si>
  <si>
    <t>108.090</t>
  </si>
  <si>
    <t>190805279</t>
  </si>
  <si>
    <t>TORNILLOS ESPONJOSOS 6.5* 90mm ROSCA CORTA ACERO</t>
  </si>
  <si>
    <t>108.095</t>
  </si>
  <si>
    <t>190805280</t>
  </si>
  <si>
    <t>TORNILLOS ESPONJOSOS 6.5* 95mm ROSCA CORTA ACERO</t>
  </si>
  <si>
    <t>108.100</t>
  </si>
  <si>
    <t>TORNILLOS ESPONJOSOS 6.5* 100mm ROSCA CORTA ACERO</t>
  </si>
  <si>
    <t>109.040</t>
  </si>
  <si>
    <t>190805265</t>
  </si>
  <si>
    <t>TORNILLOS ESPONJOSOS 6.5* 40mm ROSCA LARGA ACERO</t>
  </si>
  <si>
    <t>109.045</t>
  </si>
  <si>
    <t>190805266</t>
  </si>
  <si>
    <t>TORNILLOS ESPONJOSOS 6.5* 45mm ROSCA LARGA ACERO</t>
  </si>
  <si>
    <t>109.050</t>
  </si>
  <si>
    <t>190805267</t>
  </si>
  <si>
    <t>TORNILLOS ESPONJOSOS 6.5* 50mm ROSCA LARGA ACERO</t>
  </si>
  <si>
    <t>109.055</t>
  </si>
  <si>
    <t>TORNILLOS ESPONJOSOS 6.5* 55mm ROSCA LARGA ACERO</t>
  </si>
  <si>
    <t>109.060</t>
  </si>
  <si>
    <t>TORNILLOS ESPONJOSOS 6.5* 60mm ROSCA LARGA ACERO</t>
  </si>
  <si>
    <t>109.065</t>
  </si>
  <si>
    <t>TORNILLOS ESPONJOSOS 6.5* 65mm ROSCA LARGA ACERO</t>
  </si>
  <si>
    <t>109.070</t>
  </si>
  <si>
    <t>TORNILLOS ESPONJOSOS 6.5* 70mm ROSCA LARGA ACERO</t>
  </si>
  <si>
    <t>109.075</t>
  </si>
  <si>
    <t>TORNILLOS ESPONJOSOS 6.5* 75mm ROSCA LARGA ACERO</t>
  </si>
  <si>
    <t>109.080</t>
  </si>
  <si>
    <t>TORNILLOS ESPONJOSOS 6.5* 80mm ROSCA LARGA ACERO</t>
  </si>
  <si>
    <t>109.085</t>
  </si>
  <si>
    <t>TORNILLOS ESPONJOSOS 6.5* 85mm ROSCA LARGA ACERO</t>
  </si>
  <si>
    <t>109.090</t>
  </si>
  <si>
    <t>TORNILLOS ESPONJOSOS 6.5* 90mm ROSCA LARGA ACERO</t>
  </si>
  <si>
    <t>109.095</t>
  </si>
  <si>
    <t>TORNILLOS ESPONJOSOS 6.5* 95mm ROSCA LARGA ACERO</t>
  </si>
  <si>
    <t>109.100</t>
  </si>
  <si>
    <t>TORNILLOS ESPONJOSOS 6.5* 100mm ROSCA LARGA ACERO</t>
  </si>
  <si>
    <t>109.105</t>
  </si>
  <si>
    <t>TORNILLOS ESPONJOSOS 6.5* 105mm ROSCA LARGA ACERO</t>
  </si>
  <si>
    <t>109.110</t>
  </si>
  <si>
    <t>TORNILLOS ESPONJOSOS 6.5* 110mm ROSCA LARGA ACERO</t>
  </si>
  <si>
    <t>110.030</t>
  </si>
  <si>
    <t>190805260</t>
  </si>
  <si>
    <t>TORNILLOS ESPONJOSOS 6.5* 30mm ROSCA FULL ACERO</t>
  </si>
  <si>
    <t>110.035</t>
  </si>
  <si>
    <t>190805261</t>
  </si>
  <si>
    <t>TORNILLOS ESPONJOSOS 6.5* 35mm ROSCA FULL ACERO</t>
  </si>
  <si>
    <t>110.040</t>
  </si>
  <si>
    <t>190805262</t>
  </si>
  <si>
    <t>TORNILLOS ESPONJOSOS 6.5* 40mm ROSCA FULL ACERO</t>
  </si>
  <si>
    <t>110.045</t>
  </si>
  <si>
    <t>190805263</t>
  </si>
  <si>
    <t>TORNILLOS ESPONJOSOS 6.5* 45mm ROSCA FULL ACERO</t>
  </si>
  <si>
    <t>110.050</t>
  </si>
  <si>
    <t>190805264</t>
  </si>
  <si>
    <t>TORNILLOS ESPONJOSOS 6.5* 50mm ROSCA FULL ACERO</t>
  </si>
  <si>
    <t>110.055</t>
  </si>
  <si>
    <t>TORNILLOS ESPONJOSOS 6.5* 55mmROSCA FULL ACERO</t>
  </si>
  <si>
    <t>110.060</t>
  </si>
  <si>
    <t>TORNILLOS ESPONJOSOS 6.5* 60mm ROSCA FULL ACERO</t>
  </si>
  <si>
    <t>110.065</t>
  </si>
  <si>
    <t>TORNILLOS ESPONJOSOS 6.5* 65mm ROSCA FULL ACERO</t>
  </si>
  <si>
    <t>110.070</t>
  </si>
  <si>
    <t>TORNILLOS ESPONJOSOS 6.5* 70mm ROSCA FULL ACERO</t>
  </si>
  <si>
    <t>110.075</t>
  </si>
  <si>
    <t>TORNILLOS ESPONJOSOS 6.5* 75mm ROSCA FULL ACERO</t>
  </si>
  <si>
    <t>110.080</t>
  </si>
  <si>
    <t>TORNILLOS ESPONJOSOS 6.5* 80mm ROSCA FULL ACERO</t>
  </si>
  <si>
    <t>110.085</t>
  </si>
  <si>
    <t>TORNILLOS ESPONJOSOS 6.5* 85mm ROSCA FULL ACERO</t>
  </si>
  <si>
    <t>110.090</t>
  </si>
  <si>
    <t>TORNILLOS ESPONJOSOS 6.5* 90mm ROSCA FULL ACERO</t>
  </si>
  <si>
    <t>110.095</t>
  </si>
  <si>
    <t>TORNILLOS ESPONJOSOS 6.5* 95mm ROSCA FULL ACERO</t>
  </si>
  <si>
    <t>110.100</t>
  </si>
  <si>
    <t>TORNILLOS ESPONJOSOS 6.5* 100mm ROSCA FULL ACERO</t>
  </si>
  <si>
    <t>115.020</t>
  </si>
  <si>
    <t>200316715</t>
  </si>
  <si>
    <t>ARANDELA 4.5 mm ACERO</t>
  </si>
  <si>
    <t>INSTRUMENTAL SET 4.5/6.5 # 1</t>
  </si>
  <si>
    <t>DESCRIPCION</t>
  </si>
  <si>
    <t>BANDEJA SUPERIOR</t>
  </si>
  <si>
    <t xml:space="preserve">ATORNILLADOR DE 4.5MM CON CAMISA </t>
  </si>
  <si>
    <t>MEDIDOR DE PROFUNDIDAD</t>
  </si>
  <si>
    <t xml:space="preserve">BROCAS DE 4.3MM </t>
  </si>
  <si>
    <t xml:space="preserve">BROCA DE 3.5MM </t>
  </si>
  <si>
    <t>CLAVIJA KIRSCHNER 2.5*250 MM ACERO</t>
  </si>
  <si>
    <t>TARRAJA 6.5MM</t>
  </si>
  <si>
    <t xml:space="preserve">GUIA DE BROCA DE 3.2/4.5MM </t>
  </si>
  <si>
    <t xml:space="preserve">GUIA DE BROCA DE 3.2/6.5MM </t>
  </si>
  <si>
    <t xml:space="preserve">ANCLAJE DE 4,5MM HEXAGONAL </t>
  </si>
  <si>
    <t xml:space="preserve">ANCLAJE DE 4,5MM STAR DRIVE </t>
  </si>
  <si>
    <t xml:space="preserve">EXTRACTOR HEXAGONAL ANCLAJE RAPIDO  </t>
  </si>
  <si>
    <t xml:space="preserve">TREFINA ( ESCAREADOR PARA  HUESO) ANCLAJE RAPIDO </t>
  </si>
  <si>
    <t>TARRAJA 4.5MM</t>
  </si>
  <si>
    <t xml:space="preserve">BROCAS DE 3.2MM </t>
  </si>
  <si>
    <t xml:space="preserve">BROCAS DE 4.5MM </t>
  </si>
  <si>
    <t xml:space="preserve">MANGO EN T DE ANCLAJE RAPIDO </t>
  </si>
  <si>
    <t>GUIAS DE BLOQUEO 2.5</t>
  </si>
  <si>
    <t xml:space="preserve">PINZA SUJETADORA DE TORNILLOS </t>
  </si>
  <si>
    <t>GUIAS DE BLOQUEO 4.3</t>
  </si>
  <si>
    <t>GUIA CENTRICA/EXCENTRICA</t>
  </si>
  <si>
    <t>TORQUE 4.0N.m CON CAMISA</t>
  </si>
  <si>
    <t xml:space="preserve">DOBLADORAS DE PLACA </t>
  </si>
  <si>
    <t xml:space="preserve">ELEVADOR DE PERIOSTIO CURVO </t>
  </si>
  <si>
    <t xml:space="preserve">ELEVADOR DE PERIOSTIO RECTO </t>
  </si>
  <si>
    <t xml:space="preserve">SEPARADORES DE HOMAN </t>
  </si>
  <si>
    <t xml:space="preserve">PINZA DE REDUCCION VERBRUGGE </t>
  </si>
  <si>
    <t>PINZA DE PUNTAS CON CREMALLERA</t>
  </si>
  <si>
    <t>MANGO AZUL ANCLAJE RAPIDO</t>
  </si>
  <si>
    <t>ANCLAJE RAPIDO STARDRIVE CON CAMISA</t>
  </si>
  <si>
    <t>EQUIPO BASICO 4.5 # 4</t>
  </si>
  <si>
    <t>SEPARADORES DE BENNET</t>
  </si>
  <si>
    <t>SEPARADORES DE HIBS</t>
  </si>
  <si>
    <t>SEPARADORES HOMMAN MEDIANOS</t>
  </si>
  <si>
    <t xml:space="preserve">SEPARADORES HOMMAN FINOS </t>
  </si>
  <si>
    <t>SEPARADORES HOMMAN FINOS LARGOS</t>
  </si>
  <si>
    <t>PINZAS REDUCTORAS CANGREJO ARANDELA</t>
  </si>
  <si>
    <t>PINZA VERBRUGUER ARANDELA</t>
  </si>
  <si>
    <t>GUBIA</t>
  </si>
  <si>
    <t>PINZA EN PUNTA CREMALLERA</t>
  </si>
  <si>
    <t>DESPERIO</t>
  </si>
  <si>
    <t>CURETA LARGA</t>
  </si>
  <si>
    <t>PASADOR DE ALAMBRE</t>
  </si>
  <si>
    <t>MANGO TORQUE NEGRO</t>
  </si>
  <si>
    <t>MARTILLO</t>
  </si>
  <si>
    <t>ATORNILLADOR HEXAGONAL 4.5</t>
  </si>
  <si>
    <t>OSTEOTOMO</t>
  </si>
  <si>
    <t>INSTRUMENTAL SET IMPACTORES</t>
  </si>
  <si>
    <t>IMPACTOR ANCHO</t>
  </si>
  <si>
    <t>IMPACTOR MEDIANO</t>
  </si>
  <si>
    <t>IMPACTOR FINO</t>
  </si>
  <si>
    <t>MOTOR AUXEIN # 3</t>
  </si>
  <si>
    <t>INTERCAMBIADOR DE BATERIA</t>
  </si>
  <si>
    <t>PORTA BATERIA</t>
  </si>
  <si>
    <t>MOTOR SIERRA</t>
  </si>
  <si>
    <t>HOJAS DE SIERRA</t>
  </si>
  <si>
    <t xml:space="preserve">EL MOTOR DEBE SER ESTERILIZADO EN FRIO, LA INSTITUCION SE </t>
  </si>
  <si>
    <t xml:space="preserve">RESPONSABLE ANTE CUALQUIER DAÑO PRESENTADO </t>
  </si>
  <si>
    <t>LAS BATERIAS NO SE ESTERILIZAN</t>
  </si>
  <si>
    <t xml:space="preserve">ENTREGADO </t>
  </si>
  <si>
    <t xml:space="preserve">RECIBIDO </t>
  </si>
  <si>
    <t>INSTRUMENTADOR</t>
  </si>
  <si>
    <t xml:space="preserve">VERIFICADO </t>
  </si>
  <si>
    <t>BATERIAS ROJAS # 1 # 2</t>
  </si>
  <si>
    <t>BATERIAS NEGRAS # 3 # 4</t>
  </si>
  <si>
    <t>Fecha de elaboración: 22/02/2023</t>
  </si>
  <si>
    <t>Vigente hasta: 22/02/2026</t>
  </si>
  <si>
    <t>CODIGO</t>
  </si>
  <si>
    <t>LOTE/SERIE</t>
  </si>
  <si>
    <t>FECHA DE CADUCIDAD</t>
  </si>
  <si>
    <t>CEMENTO SUBITON QUIRURGICO CON GENTAMICINA</t>
  </si>
  <si>
    <t>ENTREGADO POR:</t>
  </si>
  <si>
    <t>RECIBIDO POR:</t>
  </si>
  <si>
    <t>VERIFICADO POR:</t>
  </si>
  <si>
    <t>3</t>
  </si>
  <si>
    <t xml:space="preserve">PRENSA DOBALDORA </t>
  </si>
  <si>
    <t xml:space="preserve">PINZA DE REDUCCION DE PUNTAS GRANDE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</si>
</sst>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_ &quot;$&quot;* #,##0_ ;_ &quot;$&quot;* \-#,##0_ ;_ &quot;$&quot;* &quot;-&quot;_ ;_ @_ "/>
    <numFmt numFmtId="169" formatCode="&quot;$&quot;#,##0.00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4"/>
      <color theme="1"/>
      <name val="Arial"/>
      <family val="2"/>
    </font>
    <font>
      <b/>
      <u/>
      <sz val="14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8"/>
      <color rgb="FF000000"/>
      <name val="Arial"/>
      <family val="2"/>
    </font>
    <font>
      <sz val="12"/>
      <color rgb="FFFF0000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6" tint="0.59999389629810485"/>
        <bgColor indexed="0"/>
      </patternFill>
    </fill>
    <fill>
      <patternFill patternType="solid">
        <fgColor theme="0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rgb="FF002060"/>
      </top>
      <bottom style="medium">
        <color rgb="FF00206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4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</cellStyleXfs>
  <cellXfs count="200">
    <xf numFmtId="0" fontId="0" fillId="0" borderId="0" xfId="0"/>
    <xf numFmtId="0" fontId="0" fillId="0" borderId="4" xfId="0" applyBorder="1" applyProtection="1">
      <protection locked="0"/>
    </xf>
    <xf numFmtId="0" fontId="0" fillId="0" borderId="5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6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4" fillId="0" borderId="7" xfId="1" applyFont="1" applyBorder="1" applyProtection="1">
      <protection locked="0"/>
    </xf>
    <xf numFmtId="0" fontId="4" fillId="0" borderId="8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 wrapText="1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 wrapText="1"/>
    </xf>
    <xf numFmtId="0" fontId="19" fillId="4" borderId="1" xfId="0" applyFont="1" applyFill="1" applyBorder="1" applyAlignment="1">
      <alignment horizontal="center"/>
    </xf>
    <xf numFmtId="0" fontId="25" fillId="8" borderId="1" xfId="0" applyFont="1" applyFill="1" applyBorder="1" applyAlignment="1" applyProtection="1">
      <alignment horizontal="center" wrapText="1" readingOrder="1"/>
      <protection locked="0"/>
    </xf>
    <xf numFmtId="0" fontId="25" fillId="8" borderId="1" xfId="0" applyFont="1" applyFill="1" applyBorder="1" applyAlignment="1" applyProtection="1">
      <alignment horizontal="center" vertical="center" wrapText="1" readingOrder="1"/>
      <protection locked="0"/>
    </xf>
    <xf numFmtId="0" fontId="26" fillId="0" borderId="1" xfId="0" applyFont="1" applyBorder="1" applyAlignment="1" applyProtection="1">
      <alignment wrapText="1" readingOrder="1"/>
      <protection locked="0"/>
    </xf>
    <xf numFmtId="169" fontId="26" fillId="0" borderId="1" xfId="7" applyNumberFormat="1" applyFont="1" applyBorder="1" applyAlignment="1">
      <alignment horizontal="right"/>
    </xf>
    <xf numFmtId="0" fontId="26" fillId="0" borderId="1" xfId="0" applyFont="1" applyBorder="1" applyAlignment="1" applyProtection="1">
      <alignment horizontal="left" wrapText="1" readingOrder="1"/>
      <protection locked="0"/>
    </xf>
    <xf numFmtId="0" fontId="1" fillId="2" borderId="1" xfId="0" applyFont="1" applyFill="1" applyBorder="1"/>
    <xf numFmtId="0" fontId="1" fillId="7" borderId="1" xfId="0" applyFont="1" applyFill="1" applyBorder="1"/>
    <xf numFmtId="0" fontId="1" fillId="0" borderId="1" xfId="0" applyFont="1" applyBorder="1" applyAlignment="1">
      <alignment wrapText="1"/>
    </xf>
    <xf numFmtId="0" fontId="26" fillId="0" borderId="1" xfId="0" applyFont="1" applyBorder="1" applyAlignment="1" applyProtection="1">
      <alignment horizontal="left" readingOrder="1"/>
      <protection locked="0"/>
    </xf>
    <xf numFmtId="169" fontId="19" fillId="0" borderId="0" xfId="1" applyNumberFormat="1" applyFont="1" applyAlignment="1">
      <alignment wrapText="1"/>
    </xf>
    <xf numFmtId="0" fontId="19" fillId="0" borderId="0" xfId="0" applyFont="1" applyAlignment="1">
      <alignment horizontal="center"/>
    </xf>
    <xf numFmtId="0" fontId="19" fillId="0" borderId="0" xfId="0" applyFont="1"/>
    <xf numFmtId="0" fontId="1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" fillId="0" borderId="0" xfId="0" applyFont="1" applyAlignment="1">
      <alignment vertical="center"/>
    </xf>
    <xf numFmtId="0" fontId="26" fillId="0" borderId="0" xfId="0" applyFont="1" applyAlignment="1" applyProtection="1">
      <alignment wrapText="1" readingOrder="1"/>
      <protection locked="0"/>
    </xf>
    <xf numFmtId="164" fontId="26" fillId="0" borderId="0" xfId="7" applyFont="1" applyBorder="1"/>
    <xf numFmtId="0" fontId="1" fillId="0" borderId="0" xfId="0" applyFont="1" applyAlignment="1" applyProtection="1">
      <alignment wrapText="1" readingOrder="1"/>
      <protection locked="0"/>
    </xf>
    <xf numFmtId="0" fontId="25" fillId="0" borderId="0" xfId="0" applyFont="1" applyAlignment="1">
      <alignment horizontal="right" wrapText="1"/>
    </xf>
    <xf numFmtId="0" fontId="26" fillId="0" borderId="0" xfId="0" applyFont="1" applyAlignment="1">
      <alignment wrapText="1"/>
    </xf>
    <xf numFmtId="0" fontId="1" fillId="0" borderId="0" xfId="1" applyFont="1"/>
    <xf numFmtId="0" fontId="26" fillId="0" borderId="0" xfId="0" applyFont="1" applyProtection="1">
      <protection locked="0"/>
    </xf>
    <xf numFmtId="169" fontId="1" fillId="0" borderId="1" xfId="12" applyNumberFormat="1" applyFont="1" applyBorder="1" applyAlignment="1">
      <alignment horizontal="right"/>
    </xf>
    <xf numFmtId="169" fontId="19" fillId="0" borderId="0" xfId="12" applyNumberFormat="1" applyFont="1" applyBorder="1" applyAlignment="1"/>
    <xf numFmtId="0" fontId="1" fillId="0" borderId="0" xfId="0" applyFont="1"/>
    <xf numFmtId="169" fontId="13" fillId="0" borderId="1" xfId="13" applyNumberFormat="1" applyFont="1" applyBorder="1" applyAlignment="1"/>
    <xf numFmtId="169" fontId="24" fillId="0" borderId="0" xfId="1" applyNumberFormat="1" applyFont="1" applyAlignment="1">
      <alignment wrapText="1"/>
    </xf>
    <xf numFmtId="169" fontId="24" fillId="0" borderId="0" xfId="1" applyNumberFormat="1" applyFont="1"/>
    <xf numFmtId="0" fontId="26" fillId="0" borderId="9" xfId="0" applyFont="1" applyBorder="1" applyAlignment="1">
      <alignment horizontal="left"/>
    </xf>
    <xf numFmtId="49" fontId="26" fillId="0" borderId="1" xfId="0" quotePrefix="1" applyNumberFormat="1" applyFont="1" applyBorder="1" applyAlignment="1">
      <alignment horizontal="left"/>
    </xf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3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2" fillId="9" borderId="1" xfId="0" applyFont="1" applyFill="1" applyBorder="1" applyAlignment="1">
      <alignment horizontal="center"/>
    </xf>
    <xf numFmtId="0" fontId="12" fillId="9" borderId="1" xfId="0" applyFont="1" applyFill="1" applyBorder="1"/>
    <xf numFmtId="0" fontId="7" fillId="2" borderId="1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12" fillId="2" borderId="1" xfId="0" applyFont="1" applyFill="1" applyBorder="1"/>
    <xf numFmtId="49" fontId="12" fillId="5" borderId="1" xfId="0" applyNumberFormat="1" applyFont="1" applyFill="1" applyBorder="1" applyAlignment="1">
      <alignment horizontal="center"/>
    </xf>
    <xf numFmtId="0" fontId="12" fillId="5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center"/>
    </xf>
    <xf numFmtId="0" fontId="7" fillId="0" borderId="1" xfId="0" applyFont="1" applyBorder="1" applyAlignment="1">
      <alignment horizontal="center"/>
    </xf>
    <xf numFmtId="49" fontId="12" fillId="2" borderId="1" xfId="0" applyNumberFormat="1" applyFont="1" applyFill="1" applyBorder="1" applyAlignment="1">
      <alignment horizontal="center"/>
    </xf>
    <xf numFmtId="0" fontId="12" fillId="2" borderId="1" xfId="0" applyFont="1" applyFill="1" applyBorder="1" applyAlignment="1">
      <alignment horizontal="left"/>
    </xf>
    <xf numFmtId="49" fontId="7" fillId="5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left"/>
    </xf>
    <xf numFmtId="49" fontId="12" fillId="0" borderId="1" xfId="0" applyNumberFormat="1" applyFont="1" applyBorder="1" applyAlignment="1">
      <alignment horizontal="center"/>
    </xf>
    <xf numFmtId="0" fontId="12" fillId="0" borderId="1" xfId="0" applyFont="1" applyBorder="1" applyAlignment="1">
      <alignment horizontal="left"/>
    </xf>
    <xf numFmtId="49" fontId="7" fillId="2" borderId="1" xfId="0" applyNumberFormat="1" applyFont="1" applyFill="1" applyBorder="1" applyAlignment="1">
      <alignment horizontal="center"/>
    </xf>
    <xf numFmtId="0" fontId="7" fillId="2" borderId="1" xfId="0" applyFont="1" applyFill="1" applyBorder="1" applyAlignment="1">
      <alignment horizontal="left"/>
    </xf>
    <xf numFmtId="3" fontId="12" fillId="2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2" fillId="0" borderId="1" xfId="1" applyFont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9" fillId="0" borderId="0" xfId="0" applyFont="1"/>
    <xf numFmtId="0" fontId="12" fillId="0" borderId="1" xfId="0" applyFont="1" applyBorder="1" applyAlignment="1">
      <alignment horizontal="left"/>
    </xf>
    <xf numFmtId="0" fontId="12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2" fillId="0" borderId="1" xfId="0" applyFont="1" applyBorder="1"/>
    <xf numFmtId="0" fontId="11" fillId="0" borderId="1" xfId="0" applyFont="1" applyBorder="1" applyAlignment="1">
      <alignment horizontal="left"/>
    </xf>
    <xf numFmtId="0" fontId="11" fillId="0" borderId="11" xfId="0" applyFont="1" applyBorder="1" applyAlignment="1">
      <alignment horizontal="left"/>
    </xf>
    <xf numFmtId="0" fontId="12" fillId="0" borderId="0" xfId="0" applyFont="1"/>
    <xf numFmtId="0" fontId="0" fillId="0" borderId="0" xfId="0"/>
    <xf numFmtId="0" fontId="0" fillId="0" borderId="1" xfId="0" applyBorder="1"/>
    <xf numFmtId="0" fontId="24" fillId="0" borderId="0" xfId="0" applyFont="1" applyAlignment="1">
      <alignment horizontal="center"/>
    </xf>
    <xf numFmtId="1" fontId="30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1" fontId="29" fillId="0" borderId="1" xfId="0" applyNumberFormat="1" applyFont="1" applyBorder="1" applyAlignment="1">
      <alignment horizontal="center"/>
    </xf>
    <xf numFmtId="0" fontId="27" fillId="0" borderId="1" xfId="0" applyFont="1" applyBorder="1"/>
    <xf numFmtId="0" fontId="27" fillId="0" borderId="1" xfId="0" applyFont="1" applyBorder="1" applyAlignment="1">
      <alignment horizontal="center"/>
    </xf>
    <xf numFmtId="0" fontId="29" fillId="0" borderId="1" xfId="0" applyFont="1" applyBorder="1" applyAlignment="1" applyProtection="1">
      <alignment readingOrder="1"/>
      <protection locked="0"/>
    </xf>
    <xf numFmtId="1" fontId="24" fillId="0" borderId="1" xfId="0" applyNumberFormat="1" applyFont="1" applyBorder="1" applyAlignment="1">
      <alignment horizontal="center"/>
    </xf>
    <xf numFmtId="0" fontId="12" fillId="0" borderId="1" xfId="1" applyFont="1" applyBorder="1" applyAlignment="1">
      <alignment horizontal="center"/>
    </xf>
    <xf numFmtId="0" fontId="13" fillId="0" borderId="1" xfId="1" applyFont="1" applyBorder="1" applyAlignment="1">
      <alignment horizontal="center"/>
    </xf>
    <xf numFmtId="0" fontId="12" fillId="0" borderId="1" xfId="1" applyFont="1" applyBorder="1" applyAlignment="1">
      <alignment horizontal="left"/>
    </xf>
    <xf numFmtId="0" fontId="28" fillId="0" borderId="0" xfId="0" applyFont="1" applyAlignment="1">
      <alignment horizontal="center"/>
    </xf>
    <xf numFmtId="0" fontId="0" fillId="0" borderId="0" xfId="0"/>
    <xf numFmtId="0" fontId="4" fillId="0" borderId="0" xfId="1" applyFont="1" applyAlignment="1">
      <alignment horizontal="center"/>
    </xf>
    <xf numFmtId="0" fontId="27" fillId="0" borderId="0" xfId="0" applyFont="1"/>
    <xf numFmtId="0" fontId="24" fillId="0" borderId="0" xfId="0" applyFont="1"/>
    <xf numFmtId="0" fontId="12" fillId="0" borderId="1" xfId="0" applyFont="1" applyBorder="1"/>
    <xf numFmtId="0" fontId="12" fillId="0" borderId="0" xfId="0" applyFont="1"/>
    <xf numFmtId="1" fontId="13" fillId="0" borderId="1" xfId="0" applyNumberFormat="1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12" xfId="0" applyFont="1" applyBorder="1"/>
    <xf numFmtId="0" fontId="12" fillId="0" borderId="0" xfId="1" applyFont="1" applyAlignment="1">
      <alignment horizontal="left"/>
    </xf>
    <xf numFmtId="0" fontId="12" fillId="0" borderId="0" xfId="1" applyFont="1" applyAlignment="1">
      <alignment wrapText="1"/>
    </xf>
    <xf numFmtId="0" fontId="7" fillId="0" borderId="0" xfId="0" applyFont="1"/>
    <xf numFmtId="0" fontId="7" fillId="0" borderId="0" xfId="0" applyFont="1" applyAlignment="1">
      <alignment horizontal="left"/>
    </xf>
    <xf numFmtId="0" fontId="0" fillId="0" borderId="13" xfId="0" applyBorder="1"/>
    <xf numFmtId="0" fontId="0" fillId="0" borderId="14" xfId="0" applyBorder="1" applyAlignment="1">
      <alignment horizontal="center"/>
    </xf>
    <xf numFmtId="0" fontId="0" fillId="0" borderId="18" xfId="0" applyBorder="1"/>
    <xf numFmtId="0" fontId="0" fillId="0" borderId="19" xfId="0" applyBorder="1" applyAlignment="1">
      <alignment horizontal="center"/>
    </xf>
    <xf numFmtId="0" fontId="31" fillId="0" borderId="21" xfId="0" applyFont="1" applyBorder="1" applyAlignment="1">
      <alignment vertical="center" wrapText="1"/>
    </xf>
    <xf numFmtId="0" fontId="4" fillId="0" borderId="22" xfId="1" applyFont="1" applyBorder="1"/>
    <xf numFmtId="0" fontId="4" fillId="0" borderId="23" xfId="1" applyFont="1" applyBorder="1"/>
    <xf numFmtId="0" fontId="4" fillId="0" borderId="0" xfId="1" applyFont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1" fontId="13" fillId="0" borderId="0" xfId="0" applyNumberFormat="1" applyFont="1" applyAlignment="1">
      <alignment horizontal="center"/>
    </xf>
    <xf numFmtId="1" fontId="12" fillId="0" borderId="1" xfId="0" applyNumberFormat="1" applyFont="1" applyBorder="1" applyAlignment="1">
      <alignment horizontal="center"/>
    </xf>
    <xf numFmtId="1" fontId="24" fillId="0" borderId="0" xfId="0" applyNumberFormat="1" applyFont="1" applyAlignment="1">
      <alignment horizontal="center"/>
    </xf>
    <xf numFmtId="0" fontId="26" fillId="0" borderId="9" xfId="0" applyFont="1" applyBorder="1" applyAlignment="1">
      <alignment horizontal="left"/>
    </xf>
    <xf numFmtId="49" fontId="26" fillId="0" borderId="1" xfId="0" quotePrefix="1" applyNumberFormat="1" applyFont="1" applyBorder="1" applyAlignment="1">
      <alignment horizontal="left"/>
    </xf>
    <xf numFmtId="0" fontId="12" fillId="2" borderId="0" xfId="0" applyFont="1" applyFill="1"/>
    <xf numFmtId="0" fontId="13" fillId="0" borderId="15" xfId="0" applyFont="1" applyBorder="1" applyAlignment="1">
      <alignment horizontal="center" vertical="center"/>
    </xf>
    <xf numFmtId="0" fontId="19" fillId="2" borderId="16" xfId="0" applyFont="1" applyFill="1" applyBorder="1" applyAlignment="1">
      <alignment horizontal="left" vertical="center"/>
    </xf>
    <xf numFmtId="0" fontId="19" fillId="2" borderId="17" xfId="0" applyFont="1" applyFill="1" applyBorder="1" applyAlignment="1">
      <alignment horizontal="left" vertical="center"/>
    </xf>
    <xf numFmtId="0" fontId="13" fillId="0" borderId="20" xfId="0" applyFont="1" applyBorder="1" applyAlignment="1">
      <alignment horizontal="center" vertical="center"/>
    </xf>
    <xf numFmtId="0" fontId="31" fillId="0" borderId="16" xfId="0" applyFont="1" applyBorder="1" applyAlignment="1">
      <alignment vertical="center" wrapText="1"/>
    </xf>
    <xf numFmtId="0" fontId="19" fillId="0" borderId="15" xfId="0" applyFont="1" applyBorder="1" applyAlignment="1">
      <alignment horizontal="center"/>
    </xf>
    <xf numFmtId="0" fontId="20" fillId="0" borderId="16" xfId="0" applyFont="1" applyBorder="1" applyAlignment="1">
      <alignment horizontal="left" vertical="center" wrapText="1"/>
    </xf>
    <xf numFmtId="0" fontId="20" fillId="0" borderId="17" xfId="0" applyFont="1" applyBorder="1" applyAlignment="1">
      <alignment horizontal="left" vertical="center" wrapText="1"/>
    </xf>
    <xf numFmtId="0" fontId="19" fillId="0" borderId="20" xfId="0" applyFont="1" applyBorder="1" applyAlignment="1">
      <alignment horizontal="center"/>
    </xf>
    <xf numFmtId="0" fontId="20" fillId="0" borderId="22" xfId="0" applyFont="1" applyBorder="1" applyAlignment="1">
      <alignment horizontal="left" vertical="center" wrapText="1"/>
    </xf>
    <xf numFmtId="0" fontId="20" fillId="0" borderId="23" xfId="0" applyFont="1" applyBorder="1" applyAlignment="1">
      <alignment horizontal="left" vertical="center" wrapText="1"/>
    </xf>
    <xf numFmtId="0" fontId="1" fillId="2" borderId="0" xfId="0" applyFont="1" applyFill="1" applyAlignment="1">
      <alignment horizontal="left" vertical="center"/>
    </xf>
    <xf numFmtId="14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5" fillId="0" borderId="0" xfId="1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9" fillId="0" borderId="0" xfId="0" applyNumberFormat="1" applyFont="1" applyAlignment="1">
      <alignment vertical="center"/>
    </xf>
    <xf numFmtId="0" fontId="32" fillId="0" borderId="0" xfId="0" applyFont="1" applyAlignment="1" applyProtection="1">
      <alignment vertical="top"/>
      <protection locked="0"/>
    </xf>
    <xf numFmtId="20" fontId="9" fillId="0" borderId="0" xfId="0" applyNumberFormat="1" applyFont="1" applyAlignment="1">
      <alignment vertical="center"/>
    </xf>
    <xf numFmtId="0" fontId="7" fillId="0" borderId="0" xfId="0" applyFont="1" applyAlignment="1" applyProtection="1">
      <alignment vertical="top"/>
      <protection locked="0"/>
    </xf>
    <xf numFmtId="0" fontId="11" fillId="0" borderId="0" xfId="0" applyFont="1" applyAlignment="1">
      <alignment horizontal="left" vertical="top"/>
    </xf>
    <xf numFmtId="0" fontId="8" fillId="3" borderId="1" xfId="0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49" fontId="8" fillId="3" borderId="3" xfId="0" applyNumberFormat="1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/>
    </xf>
    <xf numFmtId="0" fontId="33" fillId="0" borderId="10" xfId="0" applyFont="1" applyBorder="1" applyAlignment="1">
      <alignment horizontal="left"/>
    </xf>
    <xf numFmtId="0" fontId="33" fillId="0" borderId="3" xfId="0" applyFont="1" applyBorder="1" applyAlignment="1">
      <alignment horizontal="left"/>
    </xf>
    <xf numFmtId="14" fontId="33" fillId="0" borderId="1" xfId="0" applyNumberFormat="1" applyFont="1" applyBorder="1" applyAlignment="1">
      <alignment horizontal="center"/>
    </xf>
    <xf numFmtId="49" fontId="33" fillId="0" borderId="10" xfId="0" applyNumberFormat="1" applyFont="1" applyBorder="1" applyAlignment="1">
      <alignment horizontal="center"/>
    </xf>
    <xf numFmtId="0" fontId="34" fillId="0" borderId="1" xfId="0" applyFont="1" applyBorder="1" applyAlignment="1">
      <alignment horizontal="center"/>
    </xf>
    <xf numFmtId="0" fontId="7" fillId="0" borderId="1" xfId="0" applyFont="1" applyBorder="1"/>
    <xf numFmtId="0" fontId="35" fillId="0" borderId="1" xfId="0" applyFont="1" applyBorder="1" applyAlignment="1">
      <alignment horizontal="center"/>
    </xf>
    <xf numFmtId="2" fontId="35" fillId="0" borderId="1" xfId="0" applyNumberFormat="1" applyFont="1" applyBorder="1" applyAlignment="1">
      <alignment horizontal="center"/>
    </xf>
    <xf numFmtId="0" fontId="35" fillId="0" borderId="1" xfId="0" applyFont="1" applyBorder="1"/>
    <xf numFmtId="49" fontId="35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35" fillId="0" borderId="0" xfId="0" applyFont="1" applyAlignment="1">
      <alignment horizontal="center"/>
    </xf>
    <xf numFmtId="2" fontId="35" fillId="0" borderId="0" xfId="0" applyNumberFormat="1" applyFont="1" applyAlignment="1">
      <alignment horizontal="center"/>
    </xf>
    <xf numFmtId="0" fontId="35" fillId="0" borderId="0" xfId="0" applyFont="1"/>
    <xf numFmtId="49" fontId="35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35" fillId="0" borderId="12" xfId="0" applyFont="1" applyBorder="1"/>
    <xf numFmtId="0" fontId="27" fillId="0" borderId="0" xfId="1" applyFont="1" applyAlignment="1">
      <alignment horizontal="left"/>
    </xf>
    <xf numFmtId="0" fontId="12" fillId="0" borderId="0" xfId="1" applyFont="1"/>
  </cellXfs>
  <cellStyles count="14">
    <cellStyle name="Moneda [0] 2" xfId="9" xr:uid="{00000000-0005-0000-0000-000000000000}"/>
    <cellStyle name="Moneda 2" xfId="3" xr:uid="{00000000-0005-0000-0000-000001000000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398722</xdr:colOff>
      <xdr:row>1</xdr:row>
      <xdr:rowOff>77320</xdr:rowOff>
    </xdr:from>
    <xdr:ext cx="1444255" cy="699857"/>
    <xdr:pic>
      <xdr:nvPicPr>
        <xdr:cNvPr id="2" name="Imagen 1">
          <a:extLst>
            <a:ext uri="{FF2B5EF4-FFF2-40B4-BE49-F238E27FC236}">
              <a16:creationId xmlns:a16="http://schemas.microsoft.com/office/drawing/2014/main" id="{6CD70F8E-E59B-4D9E-82F6-ED24078B77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398722" y="324970"/>
          <a:ext cx="1444255" cy="699857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O307"/>
  <sheetViews>
    <sheetView showGridLines="0" tabSelected="1" zoomScale="80" zoomScaleNormal="80" zoomScaleSheetLayoutView="100" zoomScalePageLayoutView="80" workbookViewId="0">
      <pane xSplit="2" ySplit="5" topLeftCell="C283" activePane="bottomRight" state="frozen"/>
      <selection pane="topRight" activeCell="C1" sqref="C1"/>
      <selection pane="bottomLeft" activeCell="A6" sqref="A6"/>
      <selection pane="bottomRight" sqref="A1:E309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6" customWidth="1"/>
    <col min="3" max="3" width="86.7109375" style="35" bestFit="1" customWidth="1"/>
    <col min="4" max="4" width="19.85546875" style="35" customWidth="1"/>
    <col min="5" max="5" width="16.5703125" style="35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14.140625" style="10" bestFit="1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75" t="s">
        <v>21</v>
      </c>
      <c r="D2" s="73" t="s">
        <v>20</v>
      </c>
      <c r="E2" s="73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75"/>
      <c r="D3" s="9" t="s">
        <v>23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74" t="s">
        <v>22</v>
      </c>
      <c r="D4" s="9" t="s">
        <v>27</v>
      </c>
      <c r="E4" s="11">
        <v>44979</v>
      </c>
      <c r="F4" s="3"/>
      <c r="G4" s="10"/>
      <c r="H4" s="10"/>
      <c r="I4" s="12">
        <v>62</v>
      </c>
      <c r="J4" s="10"/>
      <c r="K4" s="10"/>
      <c r="L4" s="5"/>
    </row>
    <row r="5" spans="1:15" s="6" customFormat="1" ht="27.75" customHeight="1" x14ac:dyDescent="0.35">
      <c r="A5" s="13"/>
      <c r="B5" s="14"/>
      <c r="C5" s="74"/>
      <c r="D5" s="9" t="s">
        <v>28</v>
      </c>
      <c r="E5" s="11">
        <v>46075</v>
      </c>
      <c r="F5" s="15"/>
      <c r="G5" s="10"/>
      <c r="H5" s="10"/>
      <c r="I5" s="10"/>
      <c r="J5" s="10"/>
      <c r="K5" s="10"/>
      <c r="L5" s="15"/>
      <c r="M5" s="72"/>
      <c r="N5" s="72"/>
      <c r="O5" s="10"/>
    </row>
    <row r="6" spans="1:15" ht="20.100000000000001" customHeight="1" x14ac:dyDescent="0.25">
      <c r="A6" s="17"/>
      <c r="B6" s="17"/>
      <c r="C6" s="17"/>
      <c r="D6" s="17"/>
      <c r="E6" s="17"/>
      <c r="M6" s="72"/>
      <c r="N6" s="72"/>
    </row>
    <row r="7" spans="1:15" ht="20.100000000000001" customHeight="1" x14ac:dyDescent="0.2">
      <c r="A7" s="18" t="s">
        <v>0</v>
      </c>
      <c r="B7" s="18"/>
      <c r="C7" s="25">
        <v>45056</v>
      </c>
      <c r="D7" s="18" t="s">
        <v>1</v>
      </c>
      <c r="E7" s="19">
        <v>20230500544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24" t="s">
        <v>59</v>
      </c>
      <c r="D9" s="21" t="s">
        <v>3</v>
      </c>
      <c r="E9" s="69" t="s">
        <v>61</v>
      </c>
      <c r="M9" s="16"/>
      <c r="N9" s="16"/>
    </row>
    <row r="10" spans="1:15" ht="9" customHeight="1" x14ac:dyDescent="0.25">
      <c r="A10" s="20"/>
      <c r="B10" s="20"/>
      <c r="C10" s="20"/>
      <c r="D10" s="20"/>
      <c r="E10" s="20"/>
      <c r="M10" s="16"/>
      <c r="N10" s="16"/>
    </row>
    <row r="11" spans="1:15" ht="20.100000000000001" customHeight="1" x14ac:dyDescent="0.2">
      <c r="A11" s="70" t="s">
        <v>18</v>
      </c>
      <c r="B11" s="71"/>
      <c r="C11" s="22" t="s">
        <v>59</v>
      </c>
      <c r="D11" s="21" t="s">
        <v>19</v>
      </c>
      <c r="E11" s="23" t="s">
        <v>62</v>
      </c>
      <c r="M11" s="16"/>
      <c r="N11" s="16"/>
    </row>
    <row r="12" spans="1:15" ht="9.75" customHeight="1" thickBot="1" x14ac:dyDescent="0.3">
      <c r="A12" s="20"/>
      <c r="B12" s="20"/>
      <c r="C12" s="20"/>
      <c r="D12" s="20"/>
      <c r="E12" s="20"/>
      <c r="M12" s="16"/>
      <c r="N12" s="16"/>
    </row>
    <row r="13" spans="1:15" ht="20.100000000000001" customHeight="1" thickBot="1" x14ac:dyDescent="0.25">
      <c r="A13" s="18" t="s">
        <v>4</v>
      </c>
      <c r="B13" s="18"/>
      <c r="C13" s="68" t="s">
        <v>58</v>
      </c>
      <c r="D13" s="21" t="s">
        <v>5</v>
      </c>
      <c r="E13" s="22" t="s">
        <v>24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5">
        <v>45057</v>
      </c>
      <c r="D15" s="21" t="s">
        <v>7</v>
      </c>
      <c r="E15" s="26" t="s">
        <v>63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2" t="s">
        <v>60</v>
      </c>
      <c r="D17" s="27"/>
      <c r="E17" s="28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2" t="s">
        <v>64</v>
      </c>
      <c r="D19" s="21" t="s">
        <v>16</v>
      </c>
      <c r="E19" s="26"/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17</v>
      </c>
      <c r="B21" s="18"/>
      <c r="C21" s="29"/>
      <c r="D21" s="30"/>
      <c r="E21" s="31"/>
      <c r="M21" s="16"/>
      <c r="N21" s="16"/>
    </row>
    <row r="22" spans="1:14" ht="11.25" customHeight="1" x14ac:dyDescent="0.2">
      <c r="A22" s="32"/>
      <c r="B22" s="33"/>
      <c r="C22" s="32"/>
      <c r="D22" s="32"/>
      <c r="E22" s="32"/>
      <c r="G22" s="34"/>
      <c r="H22" s="34"/>
    </row>
    <row r="23" spans="1:14" ht="35.25" customHeight="1" x14ac:dyDescent="0.25">
      <c r="A23" s="38" t="s">
        <v>10</v>
      </c>
      <c r="B23" s="39" t="s">
        <v>11</v>
      </c>
      <c r="C23" s="39" t="s">
        <v>12</v>
      </c>
      <c r="D23" s="39" t="s">
        <v>13</v>
      </c>
      <c r="E23" s="39" t="s">
        <v>14</v>
      </c>
      <c r="F23" s="40" t="s">
        <v>29</v>
      </c>
      <c r="G23" s="41" t="s">
        <v>30</v>
      </c>
    </row>
    <row r="24" spans="1:14" ht="20.100000000000001" customHeight="1" x14ac:dyDescent="0.2">
      <c r="A24" s="76" t="s">
        <v>65</v>
      </c>
      <c r="B24" s="76" t="s">
        <v>66</v>
      </c>
      <c r="C24" s="77" t="s">
        <v>67</v>
      </c>
      <c r="D24" s="78">
        <v>0</v>
      </c>
      <c r="E24" s="42"/>
      <c r="F24" s="43">
        <v>1</v>
      </c>
      <c r="G24" s="43">
        <v>1</v>
      </c>
    </row>
    <row r="25" spans="1:14" ht="20.100000000000001" customHeight="1" x14ac:dyDescent="0.2">
      <c r="A25" s="79" t="s">
        <v>68</v>
      </c>
      <c r="B25" s="79" t="s">
        <v>69</v>
      </c>
      <c r="C25" s="80" t="s">
        <v>70</v>
      </c>
      <c r="D25" s="78">
        <v>1</v>
      </c>
      <c r="E25" s="42"/>
      <c r="F25" s="43">
        <v>1</v>
      </c>
      <c r="G25" s="43">
        <v>1</v>
      </c>
    </row>
    <row r="26" spans="1:14" ht="20.100000000000001" customHeight="1" x14ac:dyDescent="0.2">
      <c r="A26" s="76" t="s">
        <v>71</v>
      </c>
      <c r="B26" s="76" t="s">
        <v>66</v>
      </c>
      <c r="C26" s="77" t="s">
        <v>72</v>
      </c>
      <c r="D26" s="78">
        <v>1</v>
      </c>
      <c r="E26" s="42"/>
      <c r="F26" s="43">
        <v>1</v>
      </c>
      <c r="G26" s="43">
        <v>2</v>
      </c>
    </row>
    <row r="27" spans="1:14" ht="20.100000000000001" customHeight="1" x14ac:dyDescent="0.2">
      <c r="A27" s="79" t="s">
        <v>73</v>
      </c>
      <c r="B27" s="79" t="s">
        <v>74</v>
      </c>
      <c r="C27" s="80" t="s">
        <v>75</v>
      </c>
      <c r="D27" s="78">
        <v>1</v>
      </c>
      <c r="E27" s="42"/>
      <c r="F27" s="43">
        <v>1</v>
      </c>
      <c r="G27" s="43">
        <v>1</v>
      </c>
    </row>
    <row r="28" spans="1:14" ht="20.100000000000001" customHeight="1" x14ac:dyDescent="0.2">
      <c r="A28" s="79" t="s">
        <v>76</v>
      </c>
      <c r="B28" s="79" t="s">
        <v>77</v>
      </c>
      <c r="C28" s="80" t="s">
        <v>78</v>
      </c>
      <c r="D28" s="78">
        <v>1</v>
      </c>
      <c r="E28" s="42"/>
      <c r="F28" s="43">
        <v>1</v>
      </c>
      <c r="G28" s="43">
        <v>5</v>
      </c>
    </row>
    <row r="29" spans="1:14" ht="20.100000000000001" customHeight="1" x14ac:dyDescent="0.2">
      <c r="A29" s="79" t="s">
        <v>79</v>
      </c>
      <c r="B29" s="79" t="s">
        <v>77</v>
      </c>
      <c r="C29" s="80" t="s">
        <v>80</v>
      </c>
      <c r="D29" s="78">
        <v>0</v>
      </c>
      <c r="E29" s="42"/>
      <c r="F29" s="43">
        <v>1</v>
      </c>
      <c r="G29" s="43">
        <v>1</v>
      </c>
    </row>
    <row r="30" spans="1:14" ht="20.100000000000001" customHeight="1" x14ac:dyDescent="0.2">
      <c r="A30" s="76" t="s">
        <v>81</v>
      </c>
      <c r="B30" s="76" t="s">
        <v>82</v>
      </c>
      <c r="C30" s="77" t="s">
        <v>83</v>
      </c>
      <c r="D30" s="78">
        <v>1</v>
      </c>
      <c r="E30" s="44"/>
      <c r="F30" s="43">
        <v>1</v>
      </c>
      <c r="G30" s="43">
        <v>1</v>
      </c>
    </row>
    <row r="31" spans="1:14" ht="20.100000000000001" customHeight="1" x14ac:dyDescent="0.2">
      <c r="A31" s="79" t="s">
        <v>84</v>
      </c>
      <c r="B31" s="79" t="s">
        <v>82</v>
      </c>
      <c r="C31" s="80" t="s">
        <v>85</v>
      </c>
      <c r="D31" s="78">
        <v>0</v>
      </c>
      <c r="E31" s="44"/>
      <c r="F31" s="43">
        <v>1</v>
      </c>
      <c r="G31" s="43">
        <v>2</v>
      </c>
    </row>
    <row r="32" spans="1:14" ht="20.100000000000001" customHeight="1" x14ac:dyDescent="0.25">
      <c r="A32" s="81"/>
      <c r="B32" s="81"/>
      <c r="C32" s="82"/>
      <c r="D32" s="83">
        <f>SUM(D24:D31)</f>
        <v>5</v>
      </c>
      <c r="E32" s="44"/>
      <c r="F32" s="43">
        <v>1</v>
      </c>
      <c r="G32" s="43">
        <v>1</v>
      </c>
    </row>
    <row r="33" spans="1:7" ht="20.100000000000001" customHeight="1" x14ac:dyDescent="0.2">
      <c r="A33" s="79" t="s">
        <v>86</v>
      </c>
      <c r="B33" s="79" t="s">
        <v>82</v>
      </c>
      <c r="C33" s="80" t="s">
        <v>87</v>
      </c>
      <c r="D33" s="78">
        <v>1</v>
      </c>
      <c r="E33" s="44"/>
      <c r="F33" s="43">
        <v>1</v>
      </c>
      <c r="G33" s="43">
        <v>5</v>
      </c>
    </row>
    <row r="34" spans="1:7" ht="20.100000000000001" customHeight="1" x14ac:dyDescent="0.2">
      <c r="A34" s="79" t="s">
        <v>88</v>
      </c>
      <c r="B34" s="79">
        <v>28129</v>
      </c>
      <c r="C34" s="80" t="s">
        <v>89</v>
      </c>
      <c r="D34" s="78">
        <v>1</v>
      </c>
      <c r="E34" s="44"/>
      <c r="F34" s="43">
        <v>1</v>
      </c>
      <c r="G34" s="43">
        <v>2</v>
      </c>
    </row>
    <row r="35" spans="1:7" ht="20.100000000000001" customHeight="1" x14ac:dyDescent="0.2">
      <c r="A35" s="76" t="s">
        <v>90</v>
      </c>
      <c r="B35" s="76" t="s">
        <v>82</v>
      </c>
      <c r="C35" s="77" t="s">
        <v>91</v>
      </c>
      <c r="D35" s="78">
        <v>0</v>
      </c>
      <c r="E35" s="44"/>
      <c r="F35" s="43">
        <v>1</v>
      </c>
      <c r="G35" s="43">
        <v>2</v>
      </c>
    </row>
    <row r="36" spans="1:7" ht="20.100000000000001" customHeight="1" x14ac:dyDescent="0.2">
      <c r="A36" s="79" t="s">
        <v>92</v>
      </c>
      <c r="B36" s="79" t="s">
        <v>93</v>
      </c>
      <c r="C36" s="80" t="s">
        <v>94</v>
      </c>
      <c r="D36" s="78">
        <v>0</v>
      </c>
      <c r="E36" s="44"/>
      <c r="F36" s="43">
        <v>1</v>
      </c>
      <c r="G36" s="43">
        <v>2</v>
      </c>
    </row>
    <row r="37" spans="1:7" ht="20.100000000000001" customHeight="1" x14ac:dyDescent="0.2">
      <c r="A37" s="76" t="s">
        <v>95</v>
      </c>
      <c r="B37" s="76" t="s">
        <v>82</v>
      </c>
      <c r="C37" s="77" t="s">
        <v>96</v>
      </c>
      <c r="D37" s="78">
        <v>1</v>
      </c>
      <c r="E37" s="44"/>
      <c r="F37" s="43">
        <v>1</v>
      </c>
      <c r="G37" s="43">
        <v>2</v>
      </c>
    </row>
    <row r="38" spans="1:7" ht="20.100000000000001" customHeight="1" x14ac:dyDescent="0.2">
      <c r="A38" s="79" t="s">
        <v>97</v>
      </c>
      <c r="B38" s="79" t="s">
        <v>82</v>
      </c>
      <c r="C38" s="80" t="s">
        <v>98</v>
      </c>
      <c r="D38" s="78">
        <v>1</v>
      </c>
      <c r="E38" s="44"/>
      <c r="F38" s="43">
        <v>1</v>
      </c>
      <c r="G38" s="43">
        <v>1</v>
      </c>
    </row>
    <row r="39" spans="1:7" ht="20.100000000000001" customHeight="1" x14ac:dyDescent="0.2">
      <c r="A39" s="76" t="s">
        <v>99</v>
      </c>
      <c r="B39" s="76" t="s">
        <v>82</v>
      </c>
      <c r="C39" s="77" t="s">
        <v>100</v>
      </c>
      <c r="D39" s="78">
        <v>1</v>
      </c>
      <c r="E39" s="44"/>
      <c r="F39" s="43">
        <v>1</v>
      </c>
      <c r="G39" s="43">
        <v>1</v>
      </c>
    </row>
    <row r="40" spans="1:7" ht="20.100000000000001" customHeight="1" x14ac:dyDescent="0.2">
      <c r="A40" s="79" t="s">
        <v>101</v>
      </c>
      <c r="B40" s="79" t="s">
        <v>82</v>
      </c>
      <c r="C40" s="80" t="s">
        <v>102</v>
      </c>
      <c r="D40" s="78">
        <v>0</v>
      </c>
      <c r="E40" s="44"/>
      <c r="F40" s="43">
        <v>1</v>
      </c>
      <c r="G40" s="43">
        <v>10</v>
      </c>
    </row>
    <row r="41" spans="1:7" ht="20.100000000000001" customHeight="1" x14ac:dyDescent="0.2">
      <c r="A41" s="76" t="s">
        <v>103</v>
      </c>
      <c r="B41" s="76" t="s">
        <v>82</v>
      </c>
      <c r="C41" s="77" t="s">
        <v>104</v>
      </c>
      <c r="D41" s="78">
        <v>0</v>
      </c>
      <c r="E41" s="44"/>
      <c r="F41" s="43">
        <v>1</v>
      </c>
      <c r="G41" s="43">
        <v>2</v>
      </c>
    </row>
    <row r="42" spans="1:7" ht="20.100000000000001" customHeight="1" x14ac:dyDescent="0.25">
      <c r="A42" s="81"/>
      <c r="B42" s="81"/>
      <c r="C42" s="82"/>
      <c r="D42" s="83">
        <f>SUM(D33:D41)</f>
        <v>5</v>
      </c>
      <c r="E42" s="45"/>
      <c r="F42" s="43">
        <v>1</v>
      </c>
      <c r="G42" s="43">
        <v>1</v>
      </c>
    </row>
    <row r="43" spans="1:7" ht="20.100000000000001" customHeight="1" x14ac:dyDescent="0.2">
      <c r="A43" s="79" t="s">
        <v>105</v>
      </c>
      <c r="B43" s="79">
        <v>200517892</v>
      </c>
      <c r="C43" s="80" t="s">
        <v>106</v>
      </c>
      <c r="D43" s="78">
        <v>1</v>
      </c>
      <c r="E43" s="46"/>
      <c r="F43" s="43">
        <v>1</v>
      </c>
      <c r="G43" s="43">
        <v>2</v>
      </c>
    </row>
    <row r="44" spans="1:7" ht="20.100000000000001" customHeight="1" x14ac:dyDescent="0.2">
      <c r="A44" s="76" t="s">
        <v>107</v>
      </c>
      <c r="B44" s="76">
        <v>210632864</v>
      </c>
      <c r="C44" s="77" t="s">
        <v>108</v>
      </c>
      <c r="D44" s="78">
        <v>1</v>
      </c>
      <c r="E44" s="46"/>
      <c r="F44" s="43">
        <v>1</v>
      </c>
      <c r="G44" s="43">
        <v>2</v>
      </c>
    </row>
    <row r="45" spans="1:7" ht="20.100000000000001" customHeight="1" x14ac:dyDescent="0.2">
      <c r="A45" s="79" t="s">
        <v>109</v>
      </c>
      <c r="B45" s="79">
        <v>190906790</v>
      </c>
      <c r="C45" s="80" t="s">
        <v>110</v>
      </c>
      <c r="D45" s="78">
        <v>1</v>
      </c>
      <c r="E45" s="46"/>
      <c r="F45" s="43">
        <v>1</v>
      </c>
      <c r="G45" s="43">
        <v>1</v>
      </c>
    </row>
    <row r="46" spans="1:7" ht="20.100000000000001" customHeight="1" x14ac:dyDescent="0.2">
      <c r="A46" s="76" t="s">
        <v>111</v>
      </c>
      <c r="B46" s="76">
        <v>190906802</v>
      </c>
      <c r="C46" s="77" t="s">
        <v>112</v>
      </c>
      <c r="D46" s="78">
        <v>1</v>
      </c>
      <c r="E46" s="46"/>
      <c r="F46" s="43">
        <v>1</v>
      </c>
      <c r="G46" s="43">
        <v>1</v>
      </c>
    </row>
    <row r="47" spans="1:7" ht="20.100000000000001" customHeight="1" x14ac:dyDescent="0.2">
      <c r="A47" s="79" t="s">
        <v>113</v>
      </c>
      <c r="B47" s="79">
        <v>190906805</v>
      </c>
      <c r="C47" s="80" t="s">
        <v>114</v>
      </c>
      <c r="D47" s="78">
        <v>1</v>
      </c>
      <c r="E47" s="46"/>
      <c r="F47" s="43">
        <v>1</v>
      </c>
      <c r="G47" s="43">
        <v>9</v>
      </c>
    </row>
    <row r="48" spans="1:7" ht="20.100000000000001" customHeight="1" x14ac:dyDescent="0.2">
      <c r="A48" s="76" t="s">
        <v>115</v>
      </c>
      <c r="B48" s="76">
        <v>200112143</v>
      </c>
      <c r="C48" s="77" t="s">
        <v>116</v>
      </c>
      <c r="D48" s="78">
        <v>1</v>
      </c>
      <c r="E48" s="46"/>
      <c r="F48" s="43"/>
      <c r="G48" s="43"/>
    </row>
    <row r="49" spans="1:7" ht="20.100000000000001" customHeight="1" x14ac:dyDescent="0.25">
      <c r="A49" s="81"/>
      <c r="B49" s="81"/>
      <c r="C49" s="82"/>
      <c r="D49" s="83">
        <f>SUM(D43:D48)</f>
        <v>6</v>
      </c>
      <c r="E49" s="46"/>
      <c r="F49" s="43">
        <v>1</v>
      </c>
      <c r="G49" s="43">
        <v>1</v>
      </c>
    </row>
    <row r="50" spans="1:7" ht="20.100000000000001" customHeight="1" x14ac:dyDescent="0.2">
      <c r="A50" s="79" t="s">
        <v>117</v>
      </c>
      <c r="B50" s="79">
        <v>200517892</v>
      </c>
      <c r="C50" s="80" t="s">
        <v>118</v>
      </c>
      <c r="D50" s="78">
        <v>1</v>
      </c>
      <c r="E50" s="46"/>
      <c r="F50" s="43">
        <v>1</v>
      </c>
      <c r="G50" s="43">
        <v>1</v>
      </c>
    </row>
    <row r="51" spans="1:7" ht="20.100000000000001" customHeight="1" x14ac:dyDescent="0.2">
      <c r="A51" s="76" t="s">
        <v>119</v>
      </c>
      <c r="B51" s="76">
        <v>220850726</v>
      </c>
      <c r="C51" s="77" t="s">
        <v>120</v>
      </c>
      <c r="D51" s="78">
        <v>1</v>
      </c>
      <c r="E51" s="46"/>
      <c r="F51" s="43">
        <v>1</v>
      </c>
      <c r="G51" s="43">
        <v>1</v>
      </c>
    </row>
    <row r="52" spans="1:7" ht="20.100000000000001" customHeight="1" x14ac:dyDescent="0.2">
      <c r="A52" s="76" t="s">
        <v>121</v>
      </c>
      <c r="B52" s="76">
        <v>1909006802</v>
      </c>
      <c r="C52" s="77" t="s">
        <v>122</v>
      </c>
      <c r="D52" s="78">
        <v>1</v>
      </c>
      <c r="E52" s="47"/>
      <c r="F52" s="43">
        <v>1</v>
      </c>
      <c r="G52" s="43">
        <v>0</v>
      </c>
    </row>
    <row r="53" spans="1:7" ht="20.100000000000001" customHeight="1" x14ac:dyDescent="0.2">
      <c r="A53" s="79" t="s">
        <v>123</v>
      </c>
      <c r="B53" s="79" t="s">
        <v>124</v>
      </c>
      <c r="C53" s="80" t="s">
        <v>125</v>
      </c>
      <c r="D53" s="78">
        <v>1</v>
      </c>
      <c r="E53" s="47"/>
      <c r="F53" s="43">
        <v>1</v>
      </c>
      <c r="G53" s="43">
        <v>1</v>
      </c>
    </row>
    <row r="54" spans="1:7" ht="20.100000000000001" customHeight="1" x14ac:dyDescent="0.2">
      <c r="A54" s="76" t="s">
        <v>126</v>
      </c>
      <c r="B54" s="76" t="s">
        <v>127</v>
      </c>
      <c r="C54" s="77" t="s">
        <v>128</v>
      </c>
      <c r="D54" s="78">
        <v>1</v>
      </c>
      <c r="E54" s="47"/>
      <c r="F54" s="43">
        <v>1</v>
      </c>
      <c r="G54" s="43">
        <v>1</v>
      </c>
    </row>
    <row r="55" spans="1:7" ht="20.100000000000001" customHeight="1" x14ac:dyDescent="0.2">
      <c r="A55" s="79" t="s">
        <v>129</v>
      </c>
      <c r="B55" s="79" t="s">
        <v>130</v>
      </c>
      <c r="C55" s="80" t="s">
        <v>131</v>
      </c>
      <c r="D55" s="78">
        <v>1</v>
      </c>
      <c r="E55" s="47"/>
      <c r="F55" s="43">
        <v>1</v>
      </c>
      <c r="G55" s="43">
        <v>1</v>
      </c>
    </row>
    <row r="56" spans="1:7" ht="20.100000000000001" customHeight="1" x14ac:dyDescent="0.2">
      <c r="A56" s="76" t="s">
        <v>132</v>
      </c>
      <c r="B56" s="76" t="s">
        <v>133</v>
      </c>
      <c r="C56" s="77" t="s">
        <v>134</v>
      </c>
      <c r="D56" s="78">
        <v>1</v>
      </c>
      <c r="E56" s="47"/>
      <c r="F56" s="43">
        <v>1</v>
      </c>
      <c r="G56" s="43">
        <v>7</v>
      </c>
    </row>
    <row r="57" spans="1:7" ht="20.100000000000001" customHeight="1" x14ac:dyDescent="0.25">
      <c r="A57" s="81"/>
      <c r="B57" s="81"/>
      <c r="C57" s="82"/>
      <c r="D57" s="83">
        <f>SUM(D50:D56)</f>
        <v>7</v>
      </c>
      <c r="E57" s="47"/>
      <c r="F57" s="43">
        <v>1</v>
      </c>
      <c r="G57" s="43">
        <v>1</v>
      </c>
    </row>
    <row r="58" spans="1:7" ht="20.100000000000001" customHeight="1" x14ac:dyDescent="0.2">
      <c r="A58" s="79" t="s">
        <v>135</v>
      </c>
      <c r="B58" s="79" t="s">
        <v>136</v>
      </c>
      <c r="C58" s="80" t="s">
        <v>137</v>
      </c>
      <c r="D58" s="78">
        <v>0</v>
      </c>
      <c r="E58" s="47"/>
      <c r="F58" s="43">
        <v>1</v>
      </c>
      <c r="G58" s="43">
        <v>1</v>
      </c>
    </row>
    <row r="59" spans="1:7" ht="20.100000000000001" customHeight="1" x14ac:dyDescent="0.2">
      <c r="A59" s="76" t="s">
        <v>138</v>
      </c>
      <c r="B59" s="76" t="s">
        <v>136</v>
      </c>
      <c r="C59" s="77" t="s">
        <v>139</v>
      </c>
      <c r="D59" s="78">
        <v>1</v>
      </c>
      <c r="E59" s="47"/>
      <c r="F59" s="43">
        <v>1</v>
      </c>
      <c r="G59" s="43">
        <v>1</v>
      </c>
    </row>
    <row r="60" spans="1:7" ht="20.100000000000001" customHeight="1" x14ac:dyDescent="0.2">
      <c r="A60" s="79" t="s">
        <v>140</v>
      </c>
      <c r="B60" s="79" t="s">
        <v>141</v>
      </c>
      <c r="C60" s="80" t="s">
        <v>142</v>
      </c>
      <c r="D60" s="78">
        <v>1</v>
      </c>
      <c r="E60" s="47"/>
      <c r="F60" s="43">
        <v>1</v>
      </c>
      <c r="G60" s="43">
        <v>1</v>
      </c>
    </row>
    <row r="61" spans="1:7" ht="20.100000000000001" customHeight="1" x14ac:dyDescent="0.2">
      <c r="A61" s="76" t="s">
        <v>143</v>
      </c>
      <c r="B61" s="76" t="s">
        <v>141</v>
      </c>
      <c r="C61" s="77" t="s">
        <v>144</v>
      </c>
      <c r="D61" s="78">
        <v>1</v>
      </c>
      <c r="E61" s="47"/>
      <c r="F61" s="43">
        <v>1</v>
      </c>
      <c r="G61" s="43">
        <v>1</v>
      </c>
    </row>
    <row r="62" spans="1:7" ht="20.100000000000001" customHeight="1" x14ac:dyDescent="0.2">
      <c r="A62" s="79" t="s">
        <v>145</v>
      </c>
      <c r="B62" s="79" t="s">
        <v>141</v>
      </c>
      <c r="C62" s="80" t="s">
        <v>146</v>
      </c>
      <c r="D62" s="78">
        <v>1</v>
      </c>
      <c r="E62" s="47"/>
      <c r="F62" s="43">
        <v>1</v>
      </c>
      <c r="G62" s="43">
        <v>1</v>
      </c>
    </row>
    <row r="63" spans="1:7" ht="20.100000000000001" customHeight="1" x14ac:dyDescent="0.2">
      <c r="A63" s="76" t="s">
        <v>147</v>
      </c>
      <c r="B63" s="76" t="s">
        <v>141</v>
      </c>
      <c r="C63" s="77" t="s">
        <v>148</v>
      </c>
      <c r="D63" s="78">
        <v>1</v>
      </c>
      <c r="E63" s="47"/>
      <c r="F63" s="43">
        <v>1</v>
      </c>
      <c r="G63" s="43">
        <v>6</v>
      </c>
    </row>
    <row r="64" spans="1:7" ht="20.100000000000001" customHeight="1" x14ac:dyDescent="0.2">
      <c r="A64" s="76" t="s">
        <v>149</v>
      </c>
      <c r="B64" s="76" t="s">
        <v>141</v>
      </c>
      <c r="C64" s="77" t="s">
        <v>150</v>
      </c>
      <c r="D64" s="78">
        <v>1</v>
      </c>
      <c r="E64" s="47"/>
      <c r="F64" s="43">
        <v>1</v>
      </c>
      <c r="G64" s="43">
        <v>1</v>
      </c>
    </row>
    <row r="65" spans="1:7" ht="20.100000000000001" customHeight="1" x14ac:dyDescent="0.25">
      <c r="A65" s="76"/>
      <c r="B65" s="76"/>
      <c r="C65" s="77"/>
      <c r="D65" s="83">
        <f>SUM(D58:D64)</f>
        <v>6</v>
      </c>
      <c r="E65" s="47"/>
      <c r="F65" s="43">
        <v>1</v>
      </c>
      <c r="G65" s="43">
        <v>1</v>
      </c>
    </row>
    <row r="66" spans="1:7" ht="20.100000000000001" customHeight="1" x14ac:dyDescent="0.2">
      <c r="A66" s="79" t="s">
        <v>151</v>
      </c>
      <c r="B66" s="79">
        <v>210126669</v>
      </c>
      <c r="C66" s="80" t="s">
        <v>152</v>
      </c>
      <c r="D66" s="78">
        <v>0</v>
      </c>
      <c r="E66" s="47"/>
      <c r="F66" s="43">
        <v>1</v>
      </c>
      <c r="G66" s="43">
        <v>1</v>
      </c>
    </row>
    <row r="67" spans="1:7" ht="20.100000000000001" customHeight="1" x14ac:dyDescent="0.2">
      <c r="A67" s="76" t="s">
        <v>153</v>
      </c>
      <c r="B67" s="76">
        <v>210126669</v>
      </c>
      <c r="C67" s="77" t="s">
        <v>154</v>
      </c>
      <c r="D67" s="78">
        <v>0</v>
      </c>
      <c r="E67" s="47"/>
      <c r="F67" s="43">
        <v>1</v>
      </c>
      <c r="G67" s="43">
        <v>1</v>
      </c>
    </row>
    <row r="68" spans="1:7" ht="20.100000000000001" customHeight="1" x14ac:dyDescent="0.2">
      <c r="A68" s="79" t="s">
        <v>155</v>
      </c>
      <c r="B68" s="79">
        <v>210126669</v>
      </c>
      <c r="C68" s="80" t="s">
        <v>156</v>
      </c>
      <c r="D68" s="78">
        <v>1</v>
      </c>
      <c r="E68" s="47"/>
      <c r="F68" s="43">
        <v>1</v>
      </c>
      <c r="G68" s="43">
        <v>4</v>
      </c>
    </row>
    <row r="69" spans="1:7" ht="20.100000000000001" customHeight="1" x14ac:dyDescent="0.2">
      <c r="A69" s="79" t="s">
        <v>157</v>
      </c>
      <c r="B69" s="79">
        <v>210126671</v>
      </c>
      <c r="C69" s="80" t="s">
        <v>158</v>
      </c>
      <c r="D69" s="78">
        <v>1</v>
      </c>
      <c r="E69" s="47"/>
      <c r="F69" s="43">
        <v>1</v>
      </c>
      <c r="G69" s="43">
        <v>0</v>
      </c>
    </row>
    <row r="70" spans="1:7" ht="20.100000000000001" customHeight="1" x14ac:dyDescent="0.2">
      <c r="A70" s="76" t="s">
        <v>159</v>
      </c>
      <c r="B70" s="76">
        <v>210126671</v>
      </c>
      <c r="C70" s="77" t="s">
        <v>160</v>
      </c>
      <c r="D70" s="78">
        <v>1</v>
      </c>
      <c r="E70" s="47"/>
      <c r="F70" s="43">
        <v>1</v>
      </c>
      <c r="G70" s="43">
        <v>1</v>
      </c>
    </row>
    <row r="71" spans="1:7" ht="20.100000000000001" customHeight="1" x14ac:dyDescent="0.2">
      <c r="A71" s="79" t="s">
        <v>161</v>
      </c>
      <c r="B71" s="79">
        <v>210126673</v>
      </c>
      <c r="C71" s="80" t="s">
        <v>162</v>
      </c>
      <c r="D71" s="78">
        <v>1</v>
      </c>
      <c r="E71" s="47"/>
      <c r="F71" s="43">
        <v>1</v>
      </c>
      <c r="G71" s="43">
        <v>1</v>
      </c>
    </row>
    <row r="72" spans="1:7" ht="20.100000000000001" customHeight="1" x14ac:dyDescent="0.2">
      <c r="A72" s="76" t="s">
        <v>163</v>
      </c>
      <c r="B72" s="76">
        <v>210126673</v>
      </c>
      <c r="C72" s="77" t="s">
        <v>164</v>
      </c>
      <c r="D72" s="78">
        <v>1</v>
      </c>
      <c r="E72" s="47"/>
      <c r="F72" s="43">
        <v>1</v>
      </c>
      <c r="G72" s="43">
        <v>0</v>
      </c>
    </row>
    <row r="73" spans="1:7" ht="20.100000000000001" customHeight="1" x14ac:dyDescent="0.2">
      <c r="A73" s="79" t="s">
        <v>165</v>
      </c>
      <c r="B73" s="79">
        <v>210126675</v>
      </c>
      <c r="C73" s="80" t="s">
        <v>166</v>
      </c>
      <c r="D73" s="78">
        <v>1</v>
      </c>
      <c r="E73" s="47"/>
      <c r="F73" s="43">
        <v>1</v>
      </c>
      <c r="G73" s="43">
        <v>1</v>
      </c>
    </row>
    <row r="74" spans="1:7" ht="20.100000000000001" customHeight="1" x14ac:dyDescent="0.2">
      <c r="A74" s="76" t="s">
        <v>167</v>
      </c>
      <c r="B74" s="76">
        <v>210126677</v>
      </c>
      <c r="C74" s="77" t="s">
        <v>168</v>
      </c>
      <c r="D74" s="78">
        <v>1</v>
      </c>
      <c r="E74" s="47"/>
      <c r="F74" s="43"/>
      <c r="G74" s="43"/>
    </row>
    <row r="75" spans="1:7" ht="20.100000000000001" customHeight="1" x14ac:dyDescent="0.25">
      <c r="A75" s="81"/>
      <c r="B75" s="81"/>
      <c r="C75" s="82"/>
      <c r="D75" s="83">
        <f>SUM(D66:D74)</f>
        <v>7</v>
      </c>
      <c r="E75" s="47"/>
      <c r="F75" s="43">
        <v>1</v>
      </c>
      <c r="G75" s="43">
        <v>4</v>
      </c>
    </row>
    <row r="76" spans="1:7" ht="20.100000000000001" customHeight="1" x14ac:dyDescent="0.2">
      <c r="A76" s="79" t="s">
        <v>169</v>
      </c>
      <c r="B76" s="79">
        <v>210126668</v>
      </c>
      <c r="C76" s="80" t="s">
        <v>170</v>
      </c>
      <c r="D76" s="78">
        <v>1</v>
      </c>
      <c r="E76" s="47"/>
      <c r="F76" s="43">
        <v>1</v>
      </c>
      <c r="G76" s="43">
        <v>2</v>
      </c>
    </row>
    <row r="77" spans="1:7" ht="20.100000000000001" customHeight="1" x14ac:dyDescent="0.2">
      <c r="A77" s="76" t="s">
        <v>171</v>
      </c>
      <c r="B77" s="76">
        <v>210126668</v>
      </c>
      <c r="C77" s="77" t="s">
        <v>172</v>
      </c>
      <c r="D77" s="78">
        <v>1</v>
      </c>
      <c r="E77" s="48"/>
      <c r="F77" s="62">
        <v>1</v>
      </c>
      <c r="G77" s="43">
        <v>2</v>
      </c>
    </row>
    <row r="78" spans="1:7" ht="20.100000000000001" customHeight="1" x14ac:dyDescent="0.2">
      <c r="A78" s="79" t="s">
        <v>173</v>
      </c>
      <c r="B78" s="79">
        <v>210126668</v>
      </c>
      <c r="C78" s="80" t="s">
        <v>174</v>
      </c>
      <c r="D78" s="78">
        <v>0</v>
      </c>
      <c r="E78" s="48"/>
      <c r="F78" s="62">
        <v>1</v>
      </c>
      <c r="G78" s="43">
        <v>2</v>
      </c>
    </row>
    <row r="79" spans="1:7" ht="20.100000000000001" customHeight="1" x14ac:dyDescent="0.2">
      <c r="A79" s="76" t="s">
        <v>175</v>
      </c>
      <c r="B79" s="76">
        <v>210126670</v>
      </c>
      <c r="C79" s="77" t="s">
        <v>176</v>
      </c>
      <c r="D79" s="78">
        <v>1</v>
      </c>
      <c r="E79" s="48"/>
      <c r="F79" s="62">
        <v>1</v>
      </c>
      <c r="G79" s="43">
        <v>2</v>
      </c>
    </row>
    <row r="80" spans="1:7" ht="20.100000000000001" customHeight="1" x14ac:dyDescent="0.2">
      <c r="A80" s="79" t="s">
        <v>177</v>
      </c>
      <c r="B80" s="79">
        <v>210126668</v>
      </c>
      <c r="C80" s="80" t="s">
        <v>178</v>
      </c>
      <c r="D80" s="78">
        <v>1</v>
      </c>
      <c r="E80" s="48"/>
      <c r="F80" s="62">
        <v>1</v>
      </c>
      <c r="G80" s="43">
        <v>2</v>
      </c>
    </row>
    <row r="81" spans="1:7" ht="20.100000000000001" customHeight="1" x14ac:dyDescent="0.2">
      <c r="A81" s="76" t="s">
        <v>179</v>
      </c>
      <c r="B81" s="76" t="s">
        <v>180</v>
      </c>
      <c r="C81" s="77" t="s">
        <v>181</v>
      </c>
      <c r="D81" s="78">
        <v>1</v>
      </c>
      <c r="E81" s="48"/>
      <c r="F81" s="62">
        <v>1</v>
      </c>
      <c r="G81" s="43">
        <v>2</v>
      </c>
    </row>
    <row r="82" spans="1:7" ht="20.100000000000001" customHeight="1" x14ac:dyDescent="0.2">
      <c r="A82" s="79" t="s">
        <v>182</v>
      </c>
      <c r="B82" s="79" t="s">
        <v>183</v>
      </c>
      <c r="C82" s="80" t="s">
        <v>184</v>
      </c>
      <c r="D82" s="78">
        <v>1</v>
      </c>
      <c r="E82" s="48"/>
      <c r="F82" s="62">
        <v>1</v>
      </c>
      <c r="G82" s="43">
        <v>2</v>
      </c>
    </row>
    <row r="83" spans="1:7" ht="20.100000000000001" customHeight="1" x14ac:dyDescent="0.2">
      <c r="A83" s="76" t="s">
        <v>185</v>
      </c>
      <c r="B83" s="76" t="s">
        <v>183</v>
      </c>
      <c r="C83" s="77" t="s">
        <v>186</v>
      </c>
      <c r="D83" s="78">
        <v>1</v>
      </c>
      <c r="E83" s="48"/>
      <c r="F83" s="62">
        <v>1</v>
      </c>
      <c r="G83" s="43">
        <v>2</v>
      </c>
    </row>
    <row r="84" spans="1:7" ht="20.100000000000001" customHeight="1" x14ac:dyDescent="0.2">
      <c r="A84" s="79" t="s">
        <v>187</v>
      </c>
      <c r="B84" s="79">
        <v>210126676</v>
      </c>
      <c r="C84" s="80" t="s">
        <v>188</v>
      </c>
      <c r="D84" s="78">
        <v>1</v>
      </c>
      <c r="E84" s="48"/>
      <c r="F84" s="62"/>
      <c r="G84" s="43"/>
    </row>
    <row r="85" spans="1:7" ht="20.100000000000001" customHeight="1" x14ac:dyDescent="0.2">
      <c r="A85" s="76" t="s">
        <v>189</v>
      </c>
      <c r="B85" s="76">
        <v>210126676</v>
      </c>
      <c r="C85" s="77" t="s">
        <v>190</v>
      </c>
      <c r="D85" s="78">
        <v>1</v>
      </c>
      <c r="E85" s="48"/>
      <c r="F85" s="62">
        <v>1</v>
      </c>
      <c r="G85" s="43">
        <v>2</v>
      </c>
    </row>
    <row r="86" spans="1:7" ht="20.100000000000001" customHeight="1" x14ac:dyDescent="0.25">
      <c r="A86" s="81"/>
      <c r="B86" s="81"/>
      <c r="C86" s="82"/>
      <c r="D86" s="83">
        <f>SUM(D76:D85)</f>
        <v>9</v>
      </c>
      <c r="E86" s="48"/>
      <c r="F86" s="62"/>
      <c r="G86" s="43"/>
    </row>
    <row r="87" spans="1:7" ht="20.100000000000001" customHeight="1" x14ac:dyDescent="0.2">
      <c r="A87" s="76" t="s">
        <v>65</v>
      </c>
      <c r="B87" s="76" t="s">
        <v>66</v>
      </c>
      <c r="C87" s="77" t="s">
        <v>67</v>
      </c>
      <c r="D87" s="78">
        <v>1</v>
      </c>
      <c r="E87" s="48"/>
      <c r="F87" s="62"/>
      <c r="G87" s="43"/>
    </row>
    <row r="88" spans="1:7" ht="20.100000000000001" customHeight="1" x14ac:dyDescent="0.2">
      <c r="A88" s="79" t="s">
        <v>68</v>
      </c>
      <c r="B88" s="79" t="s">
        <v>69</v>
      </c>
      <c r="C88" s="80" t="s">
        <v>70</v>
      </c>
      <c r="D88" s="78">
        <v>1</v>
      </c>
      <c r="E88" s="48"/>
      <c r="F88" s="62"/>
      <c r="G88" s="43"/>
    </row>
    <row r="89" spans="1:7" ht="20.100000000000001" customHeight="1" x14ac:dyDescent="0.2">
      <c r="A89" s="76" t="s">
        <v>71</v>
      </c>
      <c r="B89" s="76" t="s">
        <v>66</v>
      </c>
      <c r="C89" s="77" t="s">
        <v>72</v>
      </c>
      <c r="D89" s="78">
        <v>1</v>
      </c>
      <c r="E89" s="48"/>
      <c r="F89" s="62"/>
      <c r="G89" s="43"/>
    </row>
    <row r="90" spans="1:7" ht="20.100000000000001" customHeight="1" x14ac:dyDescent="0.2">
      <c r="A90" s="79" t="s">
        <v>73</v>
      </c>
      <c r="B90" s="79" t="s">
        <v>74</v>
      </c>
      <c r="C90" s="80" t="s">
        <v>75</v>
      </c>
      <c r="D90" s="78">
        <v>0</v>
      </c>
      <c r="E90" s="48"/>
      <c r="F90" s="62"/>
      <c r="G90" s="43"/>
    </row>
    <row r="91" spans="1:7" ht="20.100000000000001" customHeight="1" x14ac:dyDescent="0.2">
      <c r="A91" s="79" t="s">
        <v>76</v>
      </c>
      <c r="B91" s="79" t="s">
        <v>77</v>
      </c>
      <c r="C91" s="80" t="s">
        <v>78</v>
      </c>
      <c r="D91" s="78">
        <v>1</v>
      </c>
      <c r="E91" s="48"/>
      <c r="F91" s="62"/>
      <c r="G91" s="43"/>
    </row>
    <row r="92" spans="1:7" ht="20.100000000000001" customHeight="1" x14ac:dyDescent="0.2">
      <c r="A92" s="79" t="s">
        <v>79</v>
      </c>
      <c r="B92" s="79" t="s">
        <v>77</v>
      </c>
      <c r="C92" s="80" t="s">
        <v>80</v>
      </c>
      <c r="D92" s="78">
        <v>0</v>
      </c>
      <c r="E92" s="48"/>
      <c r="F92" s="62"/>
      <c r="G92" s="43"/>
    </row>
    <row r="93" spans="1:7" ht="20.100000000000001" customHeight="1" x14ac:dyDescent="0.2">
      <c r="A93" s="76" t="s">
        <v>81</v>
      </c>
      <c r="B93" s="76" t="s">
        <v>82</v>
      </c>
      <c r="C93" s="77" t="s">
        <v>83</v>
      </c>
      <c r="D93" s="78">
        <v>1</v>
      </c>
      <c r="E93" s="48"/>
      <c r="F93" s="62"/>
      <c r="G93" s="43"/>
    </row>
    <row r="94" spans="1:7" ht="20.100000000000001" customHeight="1" x14ac:dyDescent="0.2">
      <c r="A94" s="79" t="s">
        <v>84</v>
      </c>
      <c r="B94" s="79" t="s">
        <v>82</v>
      </c>
      <c r="C94" s="80" t="s">
        <v>85</v>
      </c>
      <c r="D94" s="78">
        <v>0</v>
      </c>
      <c r="E94" s="48"/>
      <c r="F94" s="62"/>
      <c r="G94" s="43"/>
    </row>
    <row r="95" spans="1:7" ht="20.100000000000001" customHeight="1" x14ac:dyDescent="0.25">
      <c r="A95" s="81"/>
      <c r="B95" s="81"/>
      <c r="C95" s="82"/>
      <c r="D95" s="83">
        <f>SUM(D87:D94)</f>
        <v>5</v>
      </c>
      <c r="E95" s="48"/>
      <c r="F95" s="62"/>
      <c r="G95" s="43"/>
    </row>
    <row r="96" spans="1:7" ht="20.100000000000001" customHeight="1" x14ac:dyDescent="0.2">
      <c r="A96" s="76" t="s">
        <v>90</v>
      </c>
      <c r="B96" s="76" t="s">
        <v>82</v>
      </c>
      <c r="C96" s="77" t="s">
        <v>91</v>
      </c>
      <c r="D96" s="78">
        <v>1</v>
      </c>
      <c r="E96" s="48"/>
      <c r="F96" s="62"/>
      <c r="G96" s="43"/>
    </row>
    <row r="97" spans="1:7" ht="20.100000000000001" customHeight="1" x14ac:dyDescent="0.2">
      <c r="A97" s="79" t="s">
        <v>92</v>
      </c>
      <c r="B97" s="79" t="s">
        <v>93</v>
      </c>
      <c r="C97" s="80" t="s">
        <v>94</v>
      </c>
      <c r="D97" s="78">
        <v>1</v>
      </c>
      <c r="E97" s="48"/>
      <c r="F97" s="62"/>
      <c r="G97" s="43"/>
    </row>
    <row r="98" spans="1:7" ht="20.100000000000001" customHeight="1" x14ac:dyDescent="0.2">
      <c r="A98" s="76" t="s">
        <v>95</v>
      </c>
      <c r="B98" s="76" t="s">
        <v>82</v>
      </c>
      <c r="C98" s="77" t="s">
        <v>96</v>
      </c>
      <c r="D98" s="78">
        <v>1</v>
      </c>
      <c r="E98" s="48"/>
      <c r="F98" s="62"/>
      <c r="G98" s="43"/>
    </row>
    <row r="99" spans="1:7" ht="20.100000000000001" customHeight="1" x14ac:dyDescent="0.2">
      <c r="A99" s="79" t="s">
        <v>97</v>
      </c>
      <c r="B99" s="79" t="s">
        <v>82</v>
      </c>
      <c r="C99" s="80" t="s">
        <v>98</v>
      </c>
      <c r="D99" s="78">
        <v>1</v>
      </c>
      <c r="E99" s="48"/>
      <c r="F99" s="62"/>
      <c r="G99" s="43"/>
    </row>
    <row r="100" spans="1:7" ht="20.100000000000001" customHeight="1" x14ac:dyDescent="0.2">
      <c r="A100" s="76" t="s">
        <v>99</v>
      </c>
      <c r="B100" s="76" t="s">
        <v>82</v>
      </c>
      <c r="C100" s="77" t="s">
        <v>100</v>
      </c>
      <c r="D100" s="78">
        <v>1</v>
      </c>
      <c r="E100" s="48"/>
      <c r="F100" s="62"/>
      <c r="G100" s="43"/>
    </row>
    <row r="101" spans="1:7" ht="20.100000000000001" customHeight="1" x14ac:dyDescent="0.25">
      <c r="A101" s="81"/>
      <c r="B101" s="81"/>
      <c r="C101" s="82"/>
      <c r="D101" s="83">
        <f>SUM(D96:D100)</f>
        <v>5</v>
      </c>
      <c r="E101" s="48"/>
      <c r="F101" s="43"/>
      <c r="G101" s="43"/>
    </row>
    <row r="102" spans="1:7" ht="20.100000000000001" customHeight="1" x14ac:dyDescent="0.2">
      <c r="A102" s="81" t="s">
        <v>191</v>
      </c>
      <c r="B102" s="81">
        <v>210228500</v>
      </c>
      <c r="C102" s="82" t="s">
        <v>192</v>
      </c>
      <c r="D102" s="84">
        <v>5</v>
      </c>
      <c r="E102" s="48"/>
      <c r="F102" s="62"/>
      <c r="G102" s="43"/>
    </row>
    <row r="103" spans="1:7" ht="20.100000000000001" customHeight="1" x14ac:dyDescent="0.2">
      <c r="A103" s="85" t="s">
        <v>193</v>
      </c>
      <c r="B103" s="85">
        <v>201225757</v>
      </c>
      <c r="C103" s="86" t="s">
        <v>194</v>
      </c>
      <c r="D103" s="84">
        <v>5</v>
      </c>
      <c r="E103" s="48"/>
      <c r="F103" s="62"/>
      <c r="G103" s="43"/>
    </row>
    <row r="104" spans="1:7" ht="20.100000000000001" customHeight="1" x14ac:dyDescent="0.2">
      <c r="A104" s="81" t="s">
        <v>195</v>
      </c>
      <c r="B104" s="81">
        <v>201225758</v>
      </c>
      <c r="C104" s="82" t="s">
        <v>196</v>
      </c>
      <c r="D104" s="84">
        <v>5</v>
      </c>
      <c r="E104" s="48"/>
      <c r="F104" s="62"/>
      <c r="G104" s="43"/>
    </row>
    <row r="105" spans="1:7" ht="20.100000000000001" customHeight="1" x14ac:dyDescent="0.2">
      <c r="A105" s="85" t="s">
        <v>197</v>
      </c>
      <c r="B105" s="85">
        <v>210330220</v>
      </c>
      <c r="C105" s="86" t="s">
        <v>198</v>
      </c>
      <c r="D105" s="84">
        <v>5</v>
      </c>
      <c r="E105" s="48"/>
      <c r="F105" s="62"/>
      <c r="G105" s="43"/>
    </row>
    <row r="106" spans="1:7" ht="20.100000000000001" customHeight="1" x14ac:dyDescent="0.2">
      <c r="A106" s="87" t="s">
        <v>199</v>
      </c>
      <c r="B106" s="87">
        <v>210733736</v>
      </c>
      <c r="C106" s="88" t="s">
        <v>200</v>
      </c>
      <c r="D106" s="84">
        <v>10</v>
      </c>
      <c r="E106" s="48"/>
      <c r="F106" s="62"/>
      <c r="G106" s="43"/>
    </row>
    <row r="107" spans="1:7" ht="20.100000000000001" customHeight="1" x14ac:dyDescent="0.2">
      <c r="A107" s="85" t="s">
        <v>201</v>
      </c>
      <c r="B107" s="85" t="s">
        <v>202</v>
      </c>
      <c r="C107" s="86" t="s">
        <v>203</v>
      </c>
      <c r="D107" s="84">
        <v>10</v>
      </c>
      <c r="E107" s="48"/>
      <c r="F107" s="62"/>
      <c r="G107" s="43"/>
    </row>
    <row r="108" spans="1:7" ht="20.100000000000001" customHeight="1" x14ac:dyDescent="0.2">
      <c r="A108" s="81" t="s">
        <v>204</v>
      </c>
      <c r="B108" s="81">
        <v>200112170</v>
      </c>
      <c r="C108" s="82" t="s">
        <v>205</v>
      </c>
      <c r="D108" s="84">
        <v>10</v>
      </c>
      <c r="E108" s="48"/>
      <c r="F108" s="62"/>
      <c r="G108" s="43"/>
    </row>
    <row r="109" spans="1:7" ht="20.100000000000001" customHeight="1" x14ac:dyDescent="0.2">
      <c r="A109" s="85" t="s">
        <v>206</v>
      </c>
      <c r="B109" s="85">
        <v>200112171</v>
      </c>
      <c r="C109" s="86" t="s">
        <v>207</v>
      </c>
      <c r="D109" s="84">
        <v>10</v>
      </c>
      <c r="E109" s="48"/>
      <c r="F109" s="62"/>
      <c r="G109" s="43"/>
    </row>
    <row r="110" spans="1:7" ht="20.100000000000001" customHeight="1" x14ac:dyDescent="0.2">
      <c r="A110" s="81" t="s">
        <v>208</v>
      </c>
      <c r="B110" s="81">
        <v>200112565</v>
      </c>
      <c r="C110" s="82" t="s">
        <v>209</v>
      </c>
      <c r="D110" s="84">
        <v>10</v>
      </c>
      <c r="E110" s="48"/>
      <c r="F110" s="62"/>
      <c r="G110" s="43"/>
    </row>
    <row r="111" spans="1:7" ht="20.100000000000001" customHeight="1" x14ac:dyDescent="0.2">
      <c r="A111" s="85" t="s">
        <v>210</v>
      </c>
      <c r="B111" s="85">
        <v>200112173</v>
      </c>
      <c r="C111" s="86" t="s">
        <v>211</v>
      </c>
      <c r="D111" s="84">
        <v>10</v>
      </c>
      <c r="E111" s="48"/>
      <c r="F111" s="62"/>
      <c r="G111" s="43"/>
    </row>
    <row r="112" spans="1:7" ht="20.100000000000001" customHeight="1" x14ac:dyDescent="0.2">
      <c r="A112" s="81" t="s">
        <v>212</v>
      </c>
      <c r="B112" s="81">
        <v>210936631</v>
      </c>
      <c r="C112" s="82" t="s">
        <v>213</v>
      </c>
      <c r="D112" s="84">
        <v>10</v>
      </c>
      <c r="E112" s="48"/>
      <c r="F112" s="62"/>
      <c r="G112" s="43"/>
    </row>
    <row r="113" spans="1:7" ht="20.100000000000001" customHeight="1" x14ac:dyDescent="0.2">
      <c r="A113" s="85" t="s">
        <v>214</v>
      </c>
      <c r="B113" s="85">
        <v>210936632</v>
      </c>
      <c r="C113" s="86" t="s">
        <v>215</v>
      </c>
      <c r="D113" s="84">
        <v>5</v>
      </c>
      <c r="E113" s="48"/>
      <c r="F113" s="62"/>
      <c r="G113" s="43"/>
    </row>
    <row r="114" spans="1:7" ht="20.100000000000001" customHeight="1" x14ac:dyDescent="0.2">
      <c r="A114" s="81" t="s">
        <v>216</v>
      </c>
      <c r="B114" s="81">
        <v>210936633</v>
      </c>
      <c r="C114" s="82" t="s">
        <v>217</v>
      </c>
      <c r="D114" s="84">
        <v>5</v>
      </c>
      <c r="E114" s="48"/>
      <c r="F114" s="62"/>
      <c r="G114" s="43"/>
    </row>
    <row r="115" spans="1:7" ht="20.100000000000001" customHeight="1" x14ac:dyDescent="0.2">
      <c r="A115" s="89" t="s">
        <v>218</v>
      </c>
      <c r="B115" s="89">
        <v>210936633</v>
      </c>
      <c r="C115" s="90" t="s">
        <v>219</v>
      </c>
      <c r="D115" s="84">
        <v>5</v>
      </c>
      <c r="E115" s="48"/>
      <c r="F115" s="62"/>
      <c r="G115" s="43"/>
    </row>
    <row r="116" spans="1:7" ht="20.100000000000001" customHeight="1" x14ac:dyDescent="0.2">
      <c r="A116" s="81" t="s">
        <v>220</v>
      </c>
      <c r="B116" s="81">
        <v>210936633</v>
      </c>
      <c r="C116" s="82" t="s">
        <v>221</v>
      </c>
      <c r="D116" s="84">
        <v>5</v>
      </c>
      <c r="E116" s="48"/>
      <c r="F116" s="62"/>
      <c r="G116" s="43"/>
    </row>
    <row r="117" spans="1:7" ht="20.100000000000001" customHeight="1" x14ac:dyDescent="0.2">
      <c r="A117" s="91" t="s">
        <v>222</v>
      </c>
      <c r="B117" s="91">
        <v>210936633</v>
      </c>
      <c r="C117" s="92" t="s">
        <v>223</v>
      </c>
      <c r="D117" s="84">
        <v>2</v>
      </c>
      <c r="E117" s="48"/>
      <c r="F117" s="62"/>
      <c r="G117" s="43"/>
    </row>
    <row r="118" spans="1:7" ht="20.100000000000001" customHeight="1" x14ac:dyDescent="0.2">
      <c r="A118" s="81" t="s">
        <v>224</v>
      </c>
      <c r="B118" s="81">
        <v>210936633</v>
      </c>
      <c r="C118" s="82" t="s">
        <v>225</v>
      </c>
      <c r="D118" s="84">
        <v>5</v>
      </c>
      <c r="E118" s="48"/>
      <c r="F118" s="62"/>
      <c r="G118" s="43"/>
    </row>
    <row r="119" spans="1:7" ht="20.100000000000001" customHeight="1" x14ac:dyDescent="0.2">
      <c r="A119" s="91" t="s">
        <v>226</v>
      </c>
      <c r="B119" s="91">
        <v>210936633</v>
      </c>
      <c r="C119" s="92" t="s">
        <v>227</v>
      </c>
      <c r="D119" s="84">
        <v>3</v>
      </c>
      <c r="E119" s="48"/>
      <c r="F119" s="62"/>
      <c r="G119" s="43"/>
    </row>
    <row r="120" spans="1:7" ht="20.100000000000001" customHeight="1" x14ac:dyDescent="0.2">
      <c r="A120" s="81" t="s">
        <v>228</v>
      </c>
      <c r="B120" s="81">
        <v>210936633</v>
      </c>
      <c r="C120" s="82" t="s">
        <v>229</v>
      </c>
      <c r="D120" s="84">
        <v>5</v>
      </c>
      <c r="E120" s="48"/>
      <c r="F120" s="62"/>
      <c r="G120" s="43"/>
    </row>
    <row r="121" spans="1:7" ht="20.100000000000001" customHeight="1" x14ac:dyDescent="0.2">
      <c r="A121" s="85" t="s">
        <v>230</v>
      </c>
      <c r="B121" s="85">
        <v>210936633</v>
      </c>
      <c r="C121" s="86" t="s">
        <v>231</v>
      </c>
      <c r="D121" s="84">
        <v>5</v>
      </c>
      <c r="E121" s="48"/>
      <c r="F121" s="62"/>
      <c r="G121" s="43"/>
    </row>
    <row r="122" spans="1:7" ht="20.100000000000001" customHeight="1" x14ac:dyDescent="0.2">
      <c r="A122" s="81" t="s">
        <v>232</v>
      </c>
      <c r="B122" s="81">
        <v>210936633</v>
      </c>
      <c r="C122" s="82" t="s">
        <v>233</v>
      </c>
      <c r="D122" s="84">
        <v>5</v>
      </c>
      <c r="E122" s="48"/>
      <c r="F122" s="62"/>
      <c r="G122" s="43"/>
    </row>
    <row r="123" spans="1:7" ht="20.100000000000001" customHeight="1" x14ac:dyDescent="0.2">
      <c r="A123" s="81" t="s">
        <v>234</v>
      </c>
      <c r="B123" s="81">
        <v>210936633</v>
      </c>
      <c r="C123" s="82" t="s">
        <v>235</v>
      </c>
      <c r="D123" s="84">
        <v>5</v>
      </c>
      <c r="E123" s="48"/>
      <c r="F123" s="62"/>
      <c r="G123" s="43"/>
    </row>
    <row r="124" spans="1:7" ht="20.100000000000001" customHeight="1" x14ac:dyDescent="0.2">
      <c r="A124" s="85" t="s">
        <v>236</v>
      </c>
      <c r="B124" s="85">
        <v>210936633</v>
      </c>
      <c r="C124" s="86" t="s">
        <v>237</v>
      </c>
      <c r="D124" s="84">
        <v>5</v>
      </c>
      <c r="E124" s="48"/>
      <c r="F124" s="62"/>
      <c r="G124" s="43"/>
    </row>
    <row r="125" spans="1:7" ht="20.100000000000001" customHeight="1" x14ac:dyDescent="0.2">
      <c r="A125" s="81" t="s">
        <v>238</v>
      </c>
      <c r="B125" s="81">
        <v>210936633</v>
      </c>
      <c r="C125" s="82" t="s">
        <v>239</v>
      </c>
      <c r="D125" s="84">
        <v>5</v>
      </c>
      <c r="E125" s="48"/>
      <c r="F125" s="62"/>
      <c r="G125" s="43"/>
    </row>
    <row r="126" spans="1:7" ht="20.100000000000001" customHeight="1" x14ac:dyDescent="0.25">
      <c r="A126" s="89" t="s">
        <v>240</v>
      </c>
      <c r="B126" s="89">
        <v>210936633</v>
      </c>
      <c r="C126" s="90" t="s">
        <v>241</v>
      </c>
      <c r="D126" s="84">
        <v>5</v>
      </c>
      <c r="E126" s="48"/>
      <c r="F126" s="67" t="s">
        <v>31</v>
      </c>
      <c r="G126" s="65">
        <f>SUM(G24:G125)</f>
        <v>116</v>
      </c>
    </row>
    <row r="127" spans="1:7" ht="20.100000000000001" customHeight="1" x14ac:dyDescent="0.25">
      <c r="A127" s="93" t="s">
        <v>242</v>
      </c>
      <c r="B127" s="79" t="s">
        <v>243</v>
      </c>
      <c r="C127" s="86" t="s">
        <v>244</v>
      </c>
      <c r="D127" s="84">
        <v>0</v>
      </c>
      <c r="E127" s="48"/>
      <c r="F127" s="66" t="s">
        <v>32</v>
      </c>
      <c r="G127" s="65">
        <f>G126*12/100</f>
        <v>13.92</v>
      </c>
    </row>
    <row r="128" spans="1:7" ht="20.100000000000001" customHeight="1" x14ac:dyDescent="0.25">
      <c r="A128" s="93"/>
      <c r="B128" s="79"/>
      <c r="C128" s="86"/>
      <c r="D128" s="94">
        <f>SUM(D102:D127)</f>
        <v>155</v>
      </c>
      <c r="E128" s="48"/>
      <c r="F128" s="66" t="s">
        <v>33</v>
      </c>
      <c r="G128" s="65">
        <f>SUM(G126:G127)</f>
        <v>129.91999999999999</v>
      </c>
    </row>
    <row r="129" spans="1:7" ht="20.100000000000001" customHeight="1" x14ac:dyDescent="0.25">
      <c r="A129" s="81" t="s">
        <v>245</v>
      </c>
      <c r="B129" s="81" t="s">
        <v>246</v>
      </c>
      <c r="C129" s="86" t="s">
        <v>247</v>
      </c>
      <c r="D129" s="84">
        <v>5</v>
      </c>
      <c r="E129" s="48"/>
      <c r="F129" s="49"/>
      <c r="G129" s="63"/>
    </row>
    <row r="130" spans="1:7" ht="20.100000000000001" customHeight="1" x14ac:dyDescent="0.25">
      <c r="A130" s="85" t="s">
        <v>248</v>
      </c>
      <c r="B130" s="85" t="s">
        <v>249</v>
      </c>
      <c r="C130" s="82" t="s">
        <v>250</v>
      </c>
      <c r="D130" s="84">
        <v>5</v>
      </c>
      <c r="E130" s="48"/>
      <c r="F130" s="50"/>
      <c r="G130" s="51"/>
    </row>
    <row r="131" spans="1:7" ht="20.100000000000001" customHeight="1" x14ac:dyDescent="0.25">
      <c r="A131" s="81" t="s">
        <v>251</v>
      </c>
      <c r="B131" s="81" t="s">
        <v>252</v>
      </c>
      <c r="C131" s="86" t="s">
        <v>253</v>
      </c>
      <c r="D131" s="84">
        <v>5</v>
      </c>
      <c r="E131" s="48"/>
      <c r="F131" s="50"/>
      <c r="G131" s="51"/>
    </row>
    <row r="132" spans="1:7" ht="20.100000000000001" customHeight="1" x14ac:dyDescent="0.25">
      <c r="A132" s="85" t="s">
        <v>254</v>
      </c>
      <c r="B132" s="85">
        <v>190906311</v>
      </c>
      <c r="C132" s="82" t="s">
        <v>255</v>
      </c>
      <c r="D132" s="84">
        <v>5</v>
      </c>
      <c r="E132" s="48"/>
      <c r="F132" s="50"/>
      <c r="G132" s="50"/>
    </row>
    <row r="133" spans="1:7" ht="20.100000000000001" customHeight="1" x14ac:dyDescent="0.25">
      <c r="A133" s="81" t="s">
        <v>256</v>
      </c>
      <c r="B133" s="81" t="s">
        <v>257</v>
      </c>
      <c r="C133" s="86" t="s">
        <v>258</v>
      </c>
      <c r="D133" s="84">
        <v>10</v>
      </c>
      <c r="E133" s="48"/>
      <c r="F133" s="52"/>
      <c r="G133" s="53"/>
    </row>
    <row r="134" spans="1:7" ht="20.100000000000001" customHeight="1" x14ac:dyDescent="0.2">
      <c r="A134" s="85" t="s">
        <v>259</v>
      </c>
      <c r="B134" s="85" t="s">
        <v>260</v>
      </c>
      <c r="C134" s="82" t="s">
        <v>261</v>
      </c>
      <c r="D134" s="84">
        <v>10</v>
      </c>
      <c r="E134" s="48"/>
      <c r="F134" s="64"/>
      <c r="G134" s="54"/>
    </row>
    <row r="135" spans="1:7" ht="20.100000000000001" customHeight="1" x14ac:dyDescent="0.2">
      <c r="A135" s="81" t="s">
        <v>262</v>
      </c>
      <c r="B135" s="81" t="s">
        <v>263</v>
      </c>
      <c r="C135" s="86" t="s">
        <v>264</v>
      </c>
      <c r="D135" s="84">
        <v>10</v>
      </c>
      <c r="E135" s="48"/>
      <c r="F135" s="64"/>
      <c r="G135" s="54"/>
    </row>
    <row r="136" spans="1:7" ht="20.100000000000001" customHeight="1" x14ac:dyDescent="0.2">
      <c r="A136" s="85" t="s">
        <v>265</v>
      </c>
      <c r="B136" s="85" t="s">
        <v>266</v>
      </c>
      <c r="C136" s="82" t="s">
        <v>267</v>
      </c>
      <c r="D136" s="84">
        <v>10</v>
      </c>
      <c r="E136" s="48"/>
      <c r="F136" s="64"/>
      <c r="G136" s="54"/>
    </row>
    <row r="137" spans="1:7" ht="20.100000000000001" customHeight="1" x14ac:dyDescent="0.2">
      <c r="A137" s="81" t="s">
        <v>268</v>
      </c>
      <c r="B137" s="81" t="s">
        <v>269</v>
      </c>
      <c r="C137" s="86" t="s">
        <v>270</v>
      </c>
      <c r="D137" s="84">
        <v>10</v>
      </c>
      <c r="E137" s="48"/>
      <c r="F137" s="64"/>
      <c r="G137" s="54"/>
    </row>
    <row r="138" spans="1:7" ht="20.100000000000001" customHeight="1" x14ac:dyDescent="0.2">
      <c r="A138" s="85" t="s">
        <v>271</v>
      </c>
      <c r="B138" s="85">
        <v>200112208</v>
      </c>
      <c r="C138" s="82" t="s">
        <v>272</v>
      </c>
      <c r="D138" s="84">
        <v>10</v>
      </c>
      <c r="E138" s="48"/>
      <c r="F138" s="64"/>
      <c r="G138" s="54"/>
    </row>
    <row r="139" spans="1:7" ht="20.100000000000001" customHeight="1" x14ac:dyDescent="0.2">
      <c r="A139" s="81" t="s">
        <v>273</v>
      </c>
      <c r="B139" s="81" t="s">
        <v>246</v>
      </c>
      <c r="C139" s="86" t="s">
        <v>274</v>
      </c>
      <c r="D139" s="84">
        <v>10</v>
      </c>
      <c r="E139" s="48"/>
      <c r="F139" s="64"/>
      <c r="G139" s="54"/>
    </row>
    <row r="140" spans="1:7" ht="20.100000000000001" customHeight="1" x14ac:dyDescent="0.2">
      <c r="A140" s="85" t="s">
        <v>275</v>
      </c>
      <c r="B140" s="85" t="s">
        <v>249</v>
      </c>
      <c r="C140" s="82" t="s">
        <v>276</v>
      </c>
      <c r="D140" s="84">
        <v>5</v>
      </c>
      <c r="E140" s="48"/>
      <c r="F140" s="64"/>
      <c r="G140" s="54"/>
    </row>
    <row r="141" spans="1:7" ht="20.100000000000001" customHeight="1" x14ac:dyDescent="0.2">
      <c r="A141" s="81" t="s">
        <v>277</v>
      </c>
      <c r="B141" s="81" t="s">
        <v>252</v>
      </c>
      <c r="C141" s="86" t="s">
        <v>278</v>
      </c>
      <c r="D141" s="84">
        <v>5</v>
      </c>
      <c r="E141" s="48"/>
      <c r="F141" s="64"/>
      <c r="G141" s="54"/>
    </row>
    <row r="142" spans="1:7" ht="20.100000000000001" customHeight="1" x14ac:dyDescent="0.2">
      <c r="A142" s="85" t="s">
        <v>279</v>
      </c>
      <c r="B142" s="85" t="s">
        <v>280</v>
      </c>
      <c r="C142" s="82" t="s">
        <v>281</v>
      </c>
      <c r="D142" s="84">
        <v>5</v>
      </c>
      <c r="E142" s="48"/>
      <c r="F142" s="64"/>
      <c r="G142" s="54"/>
    </row>
    <row r="143" spans="1:7" ht="20.100000000000001" customHeight="1" x14ac:dyDescent="0.2">
      <c r="A143" s="81" t="s">
        <v>282</v>
      </c>
      <c r="B143" s="81" t="s">
        <v>283</v>
      </c>
      <c r="C143" s="86" t="s">
        <v>284</v>
      </c>
      <c r="D143" s="84">
        <v>5</v>
      </c>
      <c r="E143" s="48"/>
      <c r="F143" s="64"/>
      <c r="G143" s="54"/>
    </row>
    <row r="144" spans="1:7" ht="20.100000000000001" customHeight="1" x14ac:dyDescent="0.2">
      <c r="A144" s="85" t="s">
        <v>285</v>
      </c>
      <c r="B144" s="85" t="s">
        <v>260</v>
      </c>
      <c r="C144" s="82" t="s">
        <v>286</v>
      </c>
      <c r="D144" s="84">
        <v>2</v>
      </c>
      <c r="E144" s="48"/>
      <c r="F144" s="64"/>
      <c r="G144" s="54"/>
    </row>
    <row r="145" spans="1:7" ht="20.100000000000001" customHeight="1" x14ac:dyDescent="0.2">
      <c r="A145" s="81" t="s">
        <v>287</v>
      </c>
      <c r="B145" s="81" t="s">
        <v>246</v>
      </c>
      <c r="C145" s="86" t="s">
        <v>288</v>
      </c>
      <c r="D145" s="84">
        <v>5</v>
      </c>
      <c r="E145" s="48"/>
      <c r="F145" s="64"/>
      <c r="G145" s="54"/>
    </row>
    <row r="146" spans="1:7" ht="20.100000000000001" customHeight="1" x14ac:dyDescent="0.25">
      <c r="A146" s="85" t="s">
        <v>289</v>
      </c>
      <c r="B146" s="85" t="s">
        <v>266</v>
      </c>
      <c r="C146" s="82" t="s">
        <v>290</v>
      </c>
      <c r="D146" s="84">
        <v>3</v>
      </c>
      <c r="E146" s="48"/>
      <c r="F146" s="64"/>
      <c r="G146" s="53"/>
    </row>
    <row r="147" spans="1:7" ht="20.100000000000001" customHeight="1" x14ac:dyDescent="0.25">
      <c r="A147" s="81" t="s">
        <v>291</v>
      </c>
      <c r="B147" s="87" t="s">
        <v>292</v>
      </c>
      <c r="C147" s="86" t="s">
        <v>293</v>
      </c>
      <c r="D147" s="84">
        <v>5</v>
      </c>
      <c r="E147" s="48"/>
      <c r="F147" s="64"/>
      <c r="G147" s="53"/>
    </row>
    <row r="148" spans="1:7" ht="20.100000000000001" customHeight="1" x14ac:dyDescent="0.25">
      <c r="A148" s="91" t="s">
        <v>294</v>
      </c>
      <c r="B148" s="91" t="s">
        <v>246</v>
      </c>
      <c r="C148" s="88" t="s">
        <v>295</v>
      </c>
      <c r="D148" s="84">
        <v>5</v>
      </c>
      <c r="E148" s="48"/>
      <c r="F148" s="50"/>
      <c r="G148" s="53"/>
    </row>
    <row r="149" spans="1:7" ht="20.100000000000001" customHeight="1" x14ac:dyDescent="0.2">
      <c r="A149" s="81" t="s">
        <v>296</v>
      </c>
      <c r="B149" s="81" t="s">
        <v>249</v>
      </c>
      <c r="C149" s="86" t="s">
        <v>297</v>
      </c>
      <c r="D149" s="84">
        <v>5</v>
      </c>
      <c r="E149" s="48"/>
      <c r="F149" s="64"/>
      <c r="G149" s="54"/>
    </row>
    <row r="150" spans="1:7" ht="20.100000000000001" customHeight="1" x14ac:dyDescent="0.2">
      <c r="A150" s="89" t="s">
        <v>298</v>
      </c>
      <c r="B150" s="89" t="s">
        <v>252</v>
      </c>
      <c r="C150" s="82" t="s">
        <v>299</v>
      </c>
      <c r="D150" s="84">
        <v>5</v>
      </c>
      <c r="E150" s="48"/>
      <c r="F150" s="64"/>
      <c r="G150" s="54"/>
    </row>
    <row r="151" spans="1:7" ht="20.100000000000001" customHeight="1" x14ac:dyDescent="0.2">
      <c r="A151" s="81" t="s">
        <v>300</v>
      </c>
      <c r="B151" s="81" t="s">
        <v>280</v>
      </c>
      <c r="C151" s="86" t="s">
        <v>301</v>
      </c>
      <c r="D151" s="84">
        <v>5</v>
      </c>
      <c r="E151" s="48"/>
      <c r="F151" s="64"/>
      <c r="G151" s="54"/>
    </row>
    <row r="152" spans="1:7" ht="20.100000000000001" customHeight="1" x14ac:dyDescent="0.2">
      <c r="A152" s="85" t="s">
        <v>302</v>
      </c>
      <c r="B152" s="85" t="s">
        <v>283</v>
      </c>
      <c r="C152" s="82" t="s">
        <v>303</v>
      </c>
      <c r="D152" s="84">
        <v>5</v>
      </c>
      <c r="E152" s="48"/>
      <c r="F152" s="64"/>
      <c r="G152" s="54"/>
    </row>
    <row r="153" spans="1:7" ht="20.100000000000001" customHeight="1" x14ac:dyDescent="0.2">
      <c r="A153" s="81" t="s">
        <v>304</v>
      </c>
      <c r="B153" s="81" t="s">
        <v>260</v>
      </c>
      <c r="C153" s="86" t="s">
        <v>305</v>
      </c>
      <c r="D153" s="84">
        <v>5</v>
      </c>
      <c r="E153" s="48"/>
      <c r="F153" s="64"/>
      <c r="G153" s="54"/>
    </row>
    <row r="154" spans="1:7" ht="20.100000000000001" customHeight="1" x14ac:dyDescent="0.2">
      <c r="A154" s="93" t="s">
        <v>306</v>
      </c>
      <c r="B154" s="79" t="s">
        <v>260</v>
      </c>
      <c r="C154" s="86" t="s">
        <v>307</v>
      </c>
      <c r="D154" s="84">
        <v>0</v>
      </c>
      <c r="E154" s="48"/>
      <c r="F154" s="64"/>
      <c r="G154" s="54"/>
    </row>
    <row r="155" spans="1:7" ht="20.100000000000001" customHeight="1" x14ac:dyDescent="0.25">
      <c r="A155" s="93"/>
      <c r="B155" s="79"/>
      <c r="C155" s="86"/>
      <c r="D155" s="94">
        <f>SUM(D129:D154)</f>
        <v>155</v>
      </c>
      <c r="E155" s="48"/>
      <c r="F155" s="64"/>
      <c r="G155" s="54"/>
    </row>
    <row r="156" spans="1:7" ht="20.100000000000001" customHeight="1" x14ac:dyDescent="0.2">
      <c r="A156" s="79" t="s">
        <v>308</v>
      </c>
      <c r="B156" s="79">
        <v>190805267</v>
      </c>
      <c r="C156" s="86" t="s">
        <v>309</v>
      </c>
      <c r="D156" s="84">
        <v>2</v>
      </c>
      <c r="E156" s="48"/>
      <c r="F156" s="64"/>
      <c r="G156" s="54"/>
    </row>
    <row r="157" spans="1:7" ht="20.100000000000001" customHeight="1" x14ac:dyDescent="0.2">
      <c r="A157" s="79" t="s">
        <v>310</v>
      </c>
      <c r="B157" s="79" t="s">
        <v>311</v>
      </c>
      <c r="C157" s="86" t="s">
        <v>312</v>
      </c>
      <c r="D157" s="84">
        <v>1</v>
      </c>
      <c r="E157" s="48"/>
      <c r="F157" s="64"/>
      <c r="G157" s="54"/>
    </row>
    <row r="158" spans="1:7" ht="20.100000000000001" customHeight="1" x14ac:dyDescent="0.2">
      <c r="A158" s="79" t="s">
        <v>313</v>
      </c>
      <c r="B158" s="79" t="s">
        <v>314</v>
      </c>
      <c r="C158" s="86" t="s">
        <v>315</v>
      </c>
      <c r="D158" s="84">
        <v>2</v>
      </c>
      <c r="E158" s="48"/>
      <c r="F158" s="64"/>
      <c r="G158" s="54"/>
    </row>
    <row r="159" spans="1:7" ht="20.100000000000001" customHeight="1" x14ac:dyDescent="0.2">
      <c r="A159" s="79" t="s">
        <v>316</v>
      </c>
      <c r="B159" s="79" t="s">
        <v>317</v>
      </c>
      <c r="C159" s="86" t="s">
        <v>318</v>
      </c>
      <c r="D159" s="84">
        <v>2</v>
      </c>
      <c r="E159" s="48"/>
      <c r="F159" s="64"/>
      <c r="G159" s="54"/>
    </row>
    <row r="160" spans="1:7" ht="20.100000000000001" customHeight="1" x14ac:dyDescent="0.2">
      <c r="A160" s="79" t="s">
        <v>319</v>
      </c>
      <c r="B160" s="79" t="s">
        <v>320</v>
      </c>
      <c r="C160" s="86" t="s">
        <v>321</v>
      </c>
      <c r="D160" s="84">
        <v>1</v>
      </c>
      <c r="E160" s="48"/>
      <c r="F160" s="64"/>
      <c r="G160" s="54"/>
    </row>
    <row r="161" spans="1:7" ht="20.100000000000001" customHeight="1" x14ac:dyDescent="0.2">
      <c r="A161" s="79" t="s">
        <v>322</v>
      </c>
      <c r="B161" s="79" t="s">
        <v>323</v>
      </c>
      <c r="C161" s="86" t="s">
        <v>324</v>
      </c>
      <c r="D161" s="84">
        <v>2</v>
      </c>
      <c r="E161" s="48"/>
      <c r="F161" s="64"/>
      <c r="G161" s="54"/>
    </row>
    <row r="162" spans="1:7" ht="20.100000000000001" customHeight="1" x14ac:dyDescent="0.2">
      <c r="A162" s="79" t="s">
        <v>325</v>
      </c>
      <c r="B162" s="79" t="s">
        <v>326</v>
      </c>
      <c r="C162" s="86" t="s">
        <v>327</v>
      </c>
      <c r="D162" s="84">
        <v>1</v>
      </c>
      <c r="E162" s="48"/>
      <c r="F162" s="64"/>
      <c r="G162" s="54"/>
    </row>
    <row r="163" spans="1:7" ht="20.100000000000001" customHeight="1" x14ac:dyDescent="0.2">
      <c r="A163" s="79" t="s">
        <v>328</v>
      </c>
      <c r="B163" s="79" t="s">
        <v>329</v>
      </c>
      <c r="C163" s="86" t="s">
        <v>330</v>
      </c>
      <c r="D163" s="84">
        <v>0</v>
      </c>
      <c r="E163" s="48"/>
      <c r="F163" s="64"/>
      <c r="G163" s="54"/>
    </row>
    <row r="164" spans="1:7" ht="20.100000000000001" customHeight="1" x14ac:dyDescent="0.2">
      <c r="A164" s="79" t="s">
        <v>331</v>
      </c>
      <c r="B164" s="79" t="s">
        <v>332</v>
      </c>
      <c r="C164" s="86" t="s">
        <v>333</v>
      </c>
      <c r="D164" s="79">
        <v>2</v>
      </c>
      <c r="E164" s="48"/>
      <c r="F164" s="55"/>
      <c r="G164" s="56"/>
    </row>
    <row r="165" spans="1:7" ht="20.100000000000001" customHeight="1" x14ac:dyDescent="0.25">
      <c r="A165" s="79" t="s">
        <v>334</v>
      </c>
      <c r="B165" s="79" t="s">
        <v>335</v>
      </c>
      <c r="C165" s="86" t="s">
        <v>336</v>
      </c>
      <c r="D165" s="79">
        <v>2</v>
      </c>
      <c r="E165" s="48"/>
      <c r="F165" s="57"/>
      <c r="G165" s="58"/>
    </row>
    <row r="166" spans="1:7" ht="20.100000000000001" customHeight="1" x14ac:dyDescent="0.25">
      <c r="A166" s="79" t="s">
        <v>337</v>
      </c>
      <c r="B166" s="79" t="s">
        <v>338</v>
      </c>
      <c r="C166" s="86" t="s">
        <v>339</v>
      </c>
      <c r="D166" s="79">
        <v>2</v>
      </c>
      <c r="E166" s="48"/>
      <c r="F166" s="57"/>
      <c r="G166" s="58"/>
    </row>
    <row r="167" spans="1:7" ht="20.100000000000001" customHeight="1" x14ac:dyDescent="0.25">
      <c r="A167" s="79" t="s">
        <v>340</v>
      </c>
      <c r="B167" s="79" t="s">
        <v>341</v>
      </c>
      <c r="C167" s="86" t="s">
        <v>342</v>
      </c>
      <c r="D167" s="79">
        <v>2</v>
      </c>
      <c r="E167" s="48"/>
      <c r="F167" s="57"/>
      <c r="G167" s="58"/>
    </row>
    <row r="168" spans="1:7" ht="20.100000000000001" customHeight="1" x14ac:dyDescent="0.25">
      <c r="A168" s="79" t="s">
        <v>343</v>
      </c>
      <c r="B168" s="79" t="s">
        <v>344</v>
      </c>
      <c r="C168" s="86" t="s">
        <v>345</v>
      </c>
      <c r="D168" s="95">
        <v>2</v>
      </c>
      <c r="E168" s="48"/>
      <c r="F168" s="58"/>
      <c r="G168" s="58"/>
    </row>
    <row r="169" spans="1:7" ht="20.100000000000001" customHeight="1" x14ac:dyDescent="0.25">
      <c r="A169" s="79" t="s">
        <v>346</v>
      </c>
      <c r="B169" s="79" t="s">
        <v>347</v>
      </c>
      <c r="C169" s="86" t="s">
        <v>348</v>
      </c>
      <c r="D169" s="95">
        <v>0</v>
      </c>
      <c r="E169" s="48"/>
      <c r="F169" s="58"/>
      <c r="G169" s="58"/>
    </row>
    <row r="170" spans="1:7" ht="20.100000000000001" customHeight="1" x14ac:dyDescent="0.25">
      <c r="A170" s="79" t="s">
        <v>349</v>
      </c>
      <c r="B170" s="79" t="s">
        <v>344</v>
      </c>
      <c r="C170" s="86" t="s">
        <v>350</v>
      </c>
      <c r="D170" s="95">
        <v>0</v>
      </c>
      <c r="E170" s="48"/>
      <c r="F170" s="58"/>
      <c r="G170" s="58"/>
    </row>
    <row r="171" spans="1:7" ht="20.100000000000001" customHeight="1" x14ac:dyDescent="0.25">
      <c r="A171" s="79"/>
      <c r="B171" s="79"/>
      <c r="C171" s="86"/>
      <c r="D171" s="96">
        <f>SUM(D156:D170)</f>
        <v>21</v>
      </c>
      <c r="E171" s="48"/>
      <c r="F171" s="58"/>
      <c r="G171" s="58"/>
    </row>
    <row r="172" spans="1:7" ht="20.100000000000001" customHeight="1" x14ac:dyDescent="0.25">
      <c r="A172" s="79" t="s">
        <v>351</v>
      </c>
      <c r="B172" s="79" t="s">
        <v>352</v>
      </c>
      <c r="C172" s="86" t="s">
        <v>353</v>
      </c>
      <c r="D172" s="95">
        <v>2</v>
      </c>
      <c r="E172" s="48"/>
      <c r="F172" s="58"/>
      <c r="G172" s="58"/>
    </row>
    <row r="173" spans="1:7" ht="20.100000000000001" customHeight="1" x14ac:dyDescent="0.25">
      <c r="A173" s="79" t="s">
        <v>354</v>
      </c>
      <c r="B173" s="79" t="s">
        <v>355</v>
      </c>
      <c r="C173" s="86" t="s">
        <v>356</v>
      </c>
      <c r="D173" s="95">
        <v>0</v>
      </c>
      <c r="E173" s="48"/>
      <c r="F173" s="59"/>
      <c r="G173"/>
    </row>
    <row r="174" spans="1:7" ht="20.100000000000001" customHeight="1" x14ac:dyDescent="0.2">
      <c r="A174" s="79" t="s">
        <v>357</v>
      </c>
      <c r="B174" s="79" t="s">
        <v>358</v>
      </c>
      <c r="C174" s="86" t="s">
        <v>359</v>
      </c>
      <c r="D174" s="95">
        <v>2</v>
      </c>
      <c r="E174" s="48"/>
      <c r="F174" s="64"/>
      <c r="G174" s="64"/>
    </row>
    <row r="175" spans="1:7" ht="20.100000000000001" customHeight="1" x14ac:dyDescent="0.2">
      <c r="A175" s="79" t="s">
        <v>360</v>
      </c>
      <c r="B175" s="79" t="s">
        <v>311</v>
      </c>
      <c r="C175" s="86" t="s">
        <v>361</v>
      </c>
      <c r="D175" s="95">
        <v>2</v>
      </c>
      <c r="E175" s="48"/>
      <c r="F175" s="64"/>
      <c r="G175" s="64"/>
    </row>
    <row r="176" spans="1:7" ht="20.100000000000001" customHeight="1" x14ac:dyDescent="0.2">
      <c r="A176" s="79" t="s">
        <v>362</v>
      </c>
      <c r="B176" s="79" t="s">
        <v>314</v>
      </c>
      <c r="C176" s="86" t="s">
        <v>363</v>
      </c>
      <c r="D176" s="95">
        <v>2</v>
      </c>
      <c r="E176" s="48"/>
      <c r="F176" s="64"/>
      <c r="G176" s="64"/>
    </row>
    <row r="177" spans="1:7" ht="20.100000000000001" customHeight="1" x14ac:dyDescent="0.2">
      <c r="A177" s="79" t="s">
        <v>364</v>
      </c>
      <c r="B177" s="79" t="s">
        <v>317</v>
      </c>
      <c r="C177" s="86" t="s">
        <v>365</v>
      </c>
      <c r="D177" s="95">
        <v>0</v>
      </c>
      <c r="E177" s="48"/>
      <c r="F177" s="64"/>
      <c r="G177" s="64"/>
    </row>
    <row r="178" spans="1:7" ht="20.100000000000001" customHeight="1" x14ac:dyDescent="0.2">
      <c r="A178" s="79" t="s">
        <v>366</v>
      </c>
      <c r="B178" s="79" t="s">
        <v>320</v>
      </c>
      <c r="C178" s="86" t="s">
        <v>367</v>
      </c>
      <c r="D178" s="95">
        <v>2</v>
      </c>
      <c r="E178" s="48"/>
      <c r="F178" s="64"/>
      <c r="G178" s="64"/>
    </row>
    <row r="179" spans="1:7" ht="20.100000000000001" customHeight="1" x14ac:dyDescent="0.2">
      <c r="A179" s="79" t="s">
        <v>368</v>
      </c>
      <c r="B179" s="79" t="s">
        <v>323</v>
      </c>
      <c r="C179" s="86" t="s">
        <v>369</v>
      </c>
      <c r="D179" s="97">
        <v>0</v>
      </c>
      <c r="E179" s="48"/>
      <c r="F179" s="64"/>
      <c r="G179" s="64"/>
    </row>
    <row r="180" spans="1:7" ht="20.100000000000001" customHeight="1" x14ac:dyDescent="0.2">
      <c r="A180" s="79" t="s">
        <v>370</v>
      </c>
      <c r="B180" s="79" t="s">
        <v>326</v>
      </c>
      <c r="C180" s="86" t="s">
        <v>371</v>
      </c>
      <c r="D180" s="97">
        <v>0</v>
      </c>
      <c r="E180" s="48"/>
      <c r="F180" s="64"/>
      <c r="G180" s="64"/>
    </row>
    <row r="181" spans="1:7" ht="20.100000000000001" customHeight="1" x14ac:dyDescent="0.2">
      <c r="A181" s="79" t="s">
        <v>372</v>
      </c>
      <c r="B181" s="79" t="s">
        <v>329</v>
      </c>
      <c r="C181" s="86" t="s">
        <v>373</v>
      </c>
      <c r="D181" s="79">
        <v>0</v>
      </c>
      <c r="E181" s="48"/>
      <c r="F181" s="64"/>
      <c r="G181" s="64"/>
    </row>
    <row r="182" spans="1:7" ht="20.100000000000001" customHeight="1" x14ac:dyDescent="0.2">
      <c r="A182" s="79" t="s">
        <v>374</v>
      </c>
      <c r="B182" s="79" t="s">
        <v>332</v>
      </c>
      <c r="C182" s="86" t="s">
        <v>375</v>
      </c>
      <c r="D182" s="79">
        <v>2</v>
      </c>
      <c r="E182" s="48"/>
      <c r="F182" s="64"/>
      <c r="G182" s="64"/>
    </row>
    <row r="183" spans="1:7" ht="20.100000000000001" customHeight="1" x14ac:dyDescent="0.2">
      <c r="A183" s="93" t="s">
        <v>376</v>
      </c>
      <c r="B183" s="79" t="s">
        <v>335</v>
      </c>
      <c r="C183" s="86" t="s">
        <v>377</v>
      </c>
      <c r="D183" s="79">
        <v>1</v>
      </c>
      <c r="E183" s="48"/>
      <c r="F183" s="64"/>
      <c r="G183" s="64"/>
    </row>
    <row r="184" spans="1:7" ht="20.100000000000001" customHeight="1" x14ac:dyDescent="0.2">
      <c r="A184" s="93" t="s">
        <v>378</v>
      </c>
      <c r="B184" s="79" t="s">
        <v>335</v>
      </c>
      <c r="C184" s="86" t="s">
        <v>379</v>
      </c>
      <c r="D184" s="79">
        <v>0</v>
      </c>
      <c r="E184" s="48"/>
      <c r="F184" s="64"/>
      <c r="G184" s="64"/>
    </row>
    <row r="185" spans="1:7" ht="20.100000000000001" customHeight="1" x14ac:dyDescent="0.2">
      <c r="A185" s="93" t="s">
        <v>380</v>
      </c>
      <c r="B185" s="79" t="s">
        <v>338</v>
      </c>
      <c r="C185" s="86" t="s">
        <v>381</v>
      </c>
      <c r="D185" s="79">
        <v>0</v>
      </c>
      <c r="E185" s="48"/>
      <c r="F185" s="64"/>
      <c r="G185" s="64"/>
    </row>
    <row r="186" spans="1:7" ht="20.100000000000001" customHeight="1" x14ac:dyDescent="0.2">
      <c r="A186" s="93" t="s">
        <v>382</v>
      </c>
      <c r="B186" s="79" t="s">
        <v>341</v>
      </c>
      <c r="C186" s="86" t="s">
        <v>383</v>
      </c>
      <c r="D186" s="79">
        <v>0</v>
      </c>
      <c r="E186" s="48"/>
      <c r="F186" s="64"/>
      <c r="G186" s="64"/>
    </row>
    <row r="187" spans="1:7" ht="20.100000000000001" customHeight="1" x14ac:dyDescent="0.25">
      <c r="A187" s="93"/>
      <c r="B187" s="79"/>
      <c r="C187" s="86"/>
      <c r="D187" s="98">
        <f>SUM(D172:D186)</f>
        <v>13</v>
      </c>
      <c r="E187" s="48"/>
      <c r="F187" s="64"/>
      <c r="G187" s="64"/>
    </row>
    <row r="188" spans="1:7" ht="20.100000000000001" customHeight="1" x14ac:dyDescent="0.2">
      <c r="A188" s="93" t="s">
        <v>384</v>
      </c>
      <c r="B188" s="79" t="s">
        <v>385</v>
      </c>
      <c r="C188" s="86" t="s">
        <v>386</v>
      </c>
      <c r="D188" s="79">
        <v>0</v>
      </c>
      <c r="E188" s="48"/>
      <c r="F188" s="64"/>
      <c r="G188" s="64"/>
    </row>
    <row r="189" spans="1:7" ht="20.100000000000001" customHeight="1" x14ac:dyDescent="0.2">
      <c r="A189" s="93" t="s">
        <v>387</v>
      </c>
      <c r="B189" s="79" t="s">
        <v>388</v>
      </c>
      <c r="C189" s="86" t="s">
        <v>389</v>
      </c>
      <c r="D189" s="79">
        <v>0</v>
      </c>
      <c r="E189" s="48"/>
      <c r="F189" s="64"/>
      <c r="G189" s="64"/>
    </row>
    <row r="190" spans="1:7" ht="20.100000000000001" customHeight="1" x14ac:dyDescent="0.2">
      <c r="A190" s="93" t="s">
        <v>390</v>
      </c>
      <c r="B190" s="79" t="s">
        <v>391</v>
      </c>
      <c r="C190" s="86" t="s">
        <v>392</v>
      </c>
      <c r="D190" s="79">
        <v>0</v>
      </c>
      <c r="E190" s="48"/>
      <c r="F190" s="64"/>
      <c r="G190" s="64"/>
    </row>
    <row r="191" spans="1:7" ht="20.100000000000001" customHeight="1" x14ac:dyDescent="0.2">
      <c r="A191" s="93" t="s">
        <v>393</v>
      </c>
      <c r="B191" s="79" t="s">
        <v>394</v>
      </c>
      <c r="C191" s="86" t="s">
        <v>395</v>
      </c>
      <c r="D191" s="79">
        <v>0</v>
      </c>
      <c r="E191" s="48"/>
      <c r="F191" s="60"/>
      <c r="G191" s="60"/>
    </row>
    <row r="192" spans="1:7" ht="20.100000000000001" customHeight="1" x14ac:dyDescent="0.2">
      <c r="A192" s="93" t="s">
        <v>396</v>
      </c>
      <c r="B192" s="79" t="s">
        <v>397</v>
      </c>
      <c r="C192" s="86" t="s">
        <v>398</v>
      </c>
      <c r="D192" s="79">
        <v>2</v>
      </c>
      <c r="E192" s="48"/>
      <c r="F192" s="60"/>
      <c r="G192" s="61"/>
    </row>
    <row r="193" spans="1:7" ht="20.100000000000001" customHeight="1" x14ac:dyDescent="0.2">
      <c r="A193" s="93" t="s">
        <v>399</v>
      </c>
      <c r="B193" s="79" t="s">
        <v>352</v>
      </c>
      <c r="C193" s="86" t="s">
        <v>400</v>
      </c>
      <c r="D193" s="79">
        <v>0</v>
      </c>
      <c r="E193" s="48"/>
      <c r="F193" s="59"/>
      <c r="G193" s="61"/>
    </row>
    <row r="194" spans="1:7" ht="20.100000000000001" customHeight="1" x14ac:dyDescent="0.2">
      <c r="A194" s="93" t="s">
        <v>401</v>
      </c>
      <c r="B194" s="79" t="s">
        <v>355</v>
      </c>
      <c r="C194" s="86" t="s">
        <v>402</v>
      </c>
      <c r="D194" s="79">
        <v>0</v>
      </c>
      <c r="E194" s="48"/>
      <c r="F194" s="59"/>
      <c r="G194" s="61"/>
    </row>
    <row r="195" spans="1:7" ht="20.100000000000001" customHeight="1" x14ac:dyDescent="0.2">
      <c r="A195" s="93" t="s">
        <v>403</v>
      </c>
      <c r="B195" s="79" t="s">
        <v>358</v>
      </c>
      <c r="C195" s="86" t="s">
        <v>404</v>
      </c>
      <c r="D195" s="79">
        <v>0</v>
      </c>
      <c r="E195" s="48"/>
      <c r="F195" s="59"/>
      <c r="G195" s="61"/>
    </row>
    <row r="196" spans="1:7" ht="20.100000000000001" customHeight="1" x14ac:dyDescent="0.2">
      <c r="A196" s="93" t="s">
        <v>405</v>
      </c>
      <c r="B196" s="79" t="s">
        <v>311</v>
      </c>
      <c r="C196" s="86" t="s">
        <v>406</v>
      </c>
      <c r="D196" s="79">
        <v>0</v>
      </c>
      <c r="E196" s="48"/>
      <c r="F196" s="59"/>
      <c r="G196" s="61"/>
    </row>
    <row r="197" spans="1:7" ht="20.100000000000001" customHeight="1" x14ac:dyDescent="0.2">
      <c r="A197" s="93" t="s">
        <v>407</v>
      </c>
      <c r="B197" s="79" t="s">
        <v>314</v>
      </c>
      <c r="C197" s="86" t="s">
        <v>408</v>
      </c>
      <c r="D197" s="79">
        <v>0</v>
      </c>
      <c r="E197" s="48"/>
      <c r="F197" s="61"/>
      <c r="G197" s="61"/>
    </row>
    <row r="198" spans="1:7" ht="20.100000000000001" customHeight="1" x14ac:dyDescent="0.25">
      <c r="A198" s="93" t="s">
        <v>409</v>
      </c>
      <c r="B198" s="79" t="s">
        <v>317</v>
      </c>
      <c r="C198" s="86" t="s">
        <v>410</v>
      </c>
      <c r="D198" s="79">
        <v>0</v>
      </c>
      <c r="E198" s="48"/>
      <c r="F198"/>
      <c r="G198" s="61"/>
    </row>
    <row r="199" spans="1:7" ht="20.100000000000001" customHeight="1" x14ac:dyDescent="0.2">
      <c r="A199" s="93" t="s">
        <v>411</v>
      </c>
      <c r="B199" s="79" t="s">
        <v>320</v>
      </c>
      <c r="C199" s="86" t="s">
        <v>412</v>
      </c>
      <c r="D199" s="79">
        <v>0</v>
      </c>
      <c r="E199" s="48"/>
    </row>
    <row r="200" spans="1:7" ht="20.100000000000001" customHeight="1" x14ac:dyDescent="0.2">
      <c r="A200" s="93" t="s">
        <v>413</v>
      </c>
      <c r="B200" s="79" t="s">
        <v>323</v>
      </c>
      <c r="C200" s="86" t="s">
        <v>414</v>
      </c>
      <c r="D200" s="79">
        <v>0</v>
      </c>
      <c r="E200" s="48"/>
    </row>
    <row r="201" spans="1:7" ht="20.100000000000001" customHeight="1" x14ac:dyDescent="0.2">
      <c r="A201" s="93" t="s">
        <v>415</v>
      </c>
      <c r="B201" s="79" t="s">
        <v>326</v>
      </c>
      <c r="C201" s="86" t="s">
        <v>416</v>
      </c>
      <c r="D201" s="79">
        <v>0</v>
      </c>
      <c r="E201" s="48"/>
    </row>
    <row r="202" spans="1:7" ht="20.100000000000001" customHeight="1" x14ac:dyDescent="0.2">
      <c r="A202" s="93" t="s">
        <v>417</v>
      </c>
      <c r="B202" s="79" t="s">
        <v>329</v>
      </c>
      <c r="C202" s="86" t="s">
        <v>418</v>
      </c>
      <c r="D202" s="79">
        <v>0</v>
      </c>
      <c r="E202" s="48"/>
    </row>
    <row r="203" spans="1:7" ht="20.100000000000001" customHeight="1" x14ac:dyDescent="0.25">
      <c r="A203" s="93"/>
      <c r="B203" s="79"/>
      <c r="C203" s="86"/>
      <c r="D203" s="98">
        <f>SUM(D188:D202)</f>
        <v>2</v>
      </c>
      <c r="E203" s="48"/>
    </row>
    <row r="204" spans="1:7" ht="20.100000000000001" customHeight="1" x14ac:dyDescent="0.2">
      <c r="A204" s="93" t="s">
        <v>419</v>
      </c>
      <c r="B204" s="79" t="s">
        <v>420</v>
      </c>
      <c r="C204" s="86" t="s">
        <v>421</v>
      </c>
      <c r="D204" s="79">
        <v>5</v>
      </c>
      <c r="E204" s="48"/>
    </row>
    <row r="205" spans="1:7" ht="20.100000000000001" customHeight="1" x14ac:dyDescent="0.2">
      <c r="E205" s="64"/>
    </row>
    <row r="206" spans="1:7" ht="20.100000000000001" customHeight="1" x14ac:dyDescent="0.25">
      <c r="B206" s="99"/>
      <c r="C206" s="99" t="s">
        <v>422</v>
      </c>
      <c r="E206" s="64"/>
    </row>
    <row r="207" spans="1:7" ht="20.100000000000001" customHeight="1" x14ac:dyDescent="0.25">
      <c r="B207" s="103" t="s">
        <v>25</v>
      </c>
      <c r="C207" s="103" t="s">
        <v>423</v>
      </c>
      <c r="E207" s="64"/>
    </row>
    <row r="208" spans="1:7" ht="20.100000000000001" customHeight="1" x14ac:dyDescent="0.25">
      <c r="B208" s="104"/>
      <c r="C208" s="103" t="s">
        <v>424</v>
      </c>
      <c r="E208" s="64"/>
    </row>
    <row r="209" spans="2:5" ht="20.100000000000001" customHeight="1" x14ac:dyDescent="0.2">
      <c r="B209" s="102">
        <v>1</v>
      </c>
      <c r="C209" s="101" t="s">
        <v>425</v>
      </c>
      <c r="E209" s="64"/>
    </row>
    <row r="210" spans="2:5" ht="20.100000000000001" customHeight="1" x14ac:dyDescent="0.2">
      <c r="B210" s="102">
        <v>1</v>
      </c>
      <c r="C210" s="101" t="s">
        <v>426</v>
      </c>
      <c r="E210" s="64"/>
    </row>
    <row r="211" spans="2:5" ht="20.100000000000001" customHeight="1" x14ac:dyDescent="0.2">
      <c r="B211" s="102">
        <v>2</v>
      </c>
      <c r="C211" s="101" t="s">
        <v>427</v>
      </c>
      <c r="E211" s="64"/>
    </row>
    <row r="212" spans="2:5" ht="20.100000000000001" customHeight="1" x14ac:dyDescent="0.2">
      <c r="B212" s="102">
        <v>1</v>
      </c>
      <c r="C212" s="101" t="s">
        <v>428</v>
      </c>
      <c r="E212" s="64"/>
    </row>
    <row r="213" spans="2:5" ht="20.100000000000001" customHeight="1" x14ac:dyDescent="0.2">
      <c r="B213" s="102">
        <v>4</v>
      </c>
      <c r="C213" s="104" t="s">
        <v>429</v>
      </c>
      <c r="E213" s="64"/>
    </row>
    <row r="214" spans="2:5" ht="20.100000000000001" customHeight="1" x14ac:dyDescent="0.2">
      <c r="B214" s="102">
        <v>1</v>
      </c>
      <c r="C214" s="101" t="s">
        <v>430</v>
      </c>
      <c r="E214" s="64"/>
    </row>
    <row r="215" spans="2:5" ht="20.100000000000001" customHeight="1" x14ac:dyDescent="0.2">
      <c r="B215" s="102">
        <v>1</v>
      </c>
      <c r="C215" s="101" t="s">
        <v>431</v>
      </c>
      <c r="E215" s="64"/>
    </row>
    <row r="216" spans="2:5" ht="20.100000000000001" customHeight="1" x14ac:dyDescent="0.2">
      <c r="B216" s="102">
        <v>1</v>
      </c>
      <c r="C216" s="101" t="s">
        <v>432</v>
      </c>
      <c r="E216" s="64"/>
    </row>
    <row r="217" spans="2:5" ht="20.100000000000001" customHeight="1" x14ac:dyDescent="0.2">
      <c r="B217" s="102">
        <v>1</v>
      </c>
      <c r="C217" s="101" t="s">
        <v>433</v>
      </c>
      <c r="E217" s="64"/>
    </row>
    <row r="218" spans="2:5" ht="20.100000000000001" customHeight="1" x14ac:dyDescent="0.2">
      <c r="B218" s="102">
        <v>1</v>
      </c>
      <c r="C218" s="101" t="s">
        <v>434</v>
      </c>
    </row>
    <row r="219" spans="2:5" ht="20.100000000000001" customHeight="1" x14ac:dyDescent="0.2">
      <c r="B219" s="102">
        <v>1</v>
      </c>
      <c r="C219" s="105" t="s">
        <v>435</v>
      </c>
    </row>
    <row r="220" spans="2:5" ht="20.100000000000001" customHeight="1" x14ac:dyDescent="0.2">
      <c r="B220" s="102">
        <v>1</v>
      </c>
      <c r="C220" s="105" t="s">
        <v>436</v>
      </c>
    </row>
    <row r="221" spans="2:5" ht="20.100000000000001" customHeight="1" x14ac:dyDescent="0.2">
      <c r="B221" s="102">
        <v>1</v>
      </c>
      <c r="C221" s="101" t="s">
        <v>437</v>
      </c>
    </row>
    <row r="222" spans="2:5" ht="20.100000000000001" customHeight="1" x14ac:dyDescent="0.2">
      <c r="B222" s="102">
        <v>2</v>
      </c>
      <c r="C222" s="101" t="s">
        <v>438</v>
      </c>
    </row>
    <row r="223" spans="2:5" ht="20.100000000000001" customHeight="1" x14ac:dyDescent="0.2">
      <c r="B223" s="102">
        <v>1</v>
      </c>
      <c r="C223" s="101" t="s">
        <v>439</v>
      </c>
    </row>
    <row r="224" spans="2:5" ht="20.100000000000001" customHeight="1" x14ac:dyDescent="0.2">
      <c r="B224" s="102">
        <v>1</v>
      </c>
      <c r="C224" s="101" t="s">
        <v>440</v>
      </c>
    </row>
    <row r="225" spans="2:3" ht="20.100000000000001" customHeight="1" x14ac:dyDescent="0.2">
      <c r="B225" s="102">
        <v>2</v>
      </c>
      <c r="C225" s="101" t="s">
        <v>441</v>
      </c>
    </row>
    <row r="226" spans="2:3" ht="20.100000000000001" customHeight="1" x14ac:dyDescent="0.2">
      <c r="B226" s="102">
        <v>1</v>
      </c>
      <c r="C226" s="101" t="s">
        <v>442</v>
      </c>
    </row>
    <row r="227" spans="2:3" ht="20.100000000000001" customHeight="1" x14ac:dyDescent="0.2">
      <c r="B227" s="102">
        <v>2</v>
      </c>
      <c r="C227" s="101" t="s">
        <v>443</v>
      </c>
    </row>
    <row r="228" spans="2:3" ht="20.100000000000001" customHeight="1" x14ac:dyDescent="0.2">
      <c r="B228" s="102">
        <v>1</v>
      </c>
      <c r="C228" s="101" t="s">
        <v>444</v>
      </c>
    </row>
    <row r="229" spans="2:3" ht="20.100000000000001" customHeight="1" x14ac:dyDescent="0.25">
      <c r="B229" s="103">
        <v>27</v>
      </c>
      <c r="C229" s="101"/>
    </row>
    <row r="230" spans="2:3" ht="20.100000000000001" customHeight="1" x14ac:dyDescent="0.2">
      <c r="B230" s="107"/>
      <c r="C230" s="107"/>
    </row>
    <row r="231" spans="2:3" ht="20.100000000000001" customHeight="1" x14ac:dyDescent="0.25">
      <c r="B231" s="107"/>
      <c r="C231" s="103" t="s">
        <v>26</v>
      </c>
    </row>
    <row r="232" spans="2:3" ht="20.100000000000001" customHeight="1" x14ac:dyDescent="0.2">
      <c r="B232" s="102">
        <v>1</v>
      </c>
      <c r="C232" s="101" t="s">
        <v>445</v>
      </c>
    </row>
    <row r="233" spans="2:3" ht="20.100000000000001" customHeight="1" x14ac:dyDescent="0.2">
      <c r="B233" s="102">
        <v>2</v>
      </c>
      <c r="C233" s="101" t="s">
        <v>446</v>
      </c>
    </row>
    <row r="234" spans="2:3" ht="20.100000000000001" customHeight="1" x14ac:dyDescent="0.2">
      <c r="B234" s="102">
        <v>1</v>
      </c>
      <c r="C234" s="101" t="s">
        <v>447</v>
      </c>
    </row>
    <row r="235" spans="2:3" ht="20.100000000000001" customHeight="1" x14ac:dyDescent="0.2">
      <c r="B235" s="102">
        <v>1</v>
      </c>
      <c r="C235" s="101" t="s">
        <v>448</v>
      </c>
    </row>
    <row r="236" spans="2:3" ht="20.100000000000001" customHeight="1" x14ac:dyDescent="0.2">
      <c r="B236" s="102">
        <v>2</v>
      </c>
      <c r="C236" s="101" t="s">
        <v>449</v>
      </c>
    </row>
    <row r="237" spans="2:3" ht="20.100000000000001" customHeight="1" x14ac:dyDescent="0.2">
      <c r="B237" s="102">
        <v>1</v>
      </c>
      <c r="C237" s="106" t="s">
        <v>450</v>
      </c>
    </row>
    <row r="238" spans="2:3" ht="20.100000000000001" customHeight="1" x14ac:dyDescent="0.2">
      <c r="B238" s="102">
        <v>1</v>
      </c>
      <c r="C238" s="101" t="s">
        <v>451</v>
      </c>
    </row>
    <row r="239" spans="2:3" ht="20.100000000000001" customHeight="1" x14ac:dyDescent="0.2">
      <c r="B239" s="102">
        <v>1</v>
      </c>
      <c r="C239" s="101" t="s">
        <v>452</v>
      </c>
    </row>
    <row r="240" spans="2:3" ht="20.100000000000001" customHeight="1" x14ac:dyDescent="0.2">
      <c r="B240" s="102">
        <v>1</v>
      </c>
      <c r="C240" s="101" t="s">
        <v>453</v>
      </c>
    </row>
    <row r="241" spans="2:3" ht="20.100000000000001" customHeight="1" x14ac:dyDescent="0.25">
      <c r="B241" s="103">
        <v>11</v>
      </c>
      <c r="C241" s="104"/>
    </row>
    <row r="243" spans="2:3" ht="20.100000000000001" customHeight="1" x14ac:dyDescent="0.25">
      <c r="B243" s="108"/>
      <c r="C243" s="110" t="s">
        <v>454</v>
      </c>
    </row>
    <row r="244" spans="2:3" ht="20.100000000000001" customHeight="1" x14ac:dyDescent="0.25">
      <c r="B244" s="111" t="s">
        <v>25</v>
      </c>
      <c r="C244" s="112" t="s">
        <v>423</v>
      </c>
    </row>
    <row r="245" spans="2:3" ht="20.100000000000001" customHeight="1" x14ac:dyDescent="0.25">
      <c r="B245" s="113">
        <v>2</v>
      </c>
      <c r="C245" s="114" t="s">
        <v>455</v>
      </c>
    </row>
    <row r="246" spans="2:3" ht="20.100000000000001" customHeight="1" x14ac:dyDescent="0.25">
      <c r="B246" s="113">
        <v>2</v>
      </c>
      <c r="C246" s="114" t="s">
        <v>456</v>
      </c>
    </row>
    <row r="247" spans="2:3" ht="20.100000000000001" customHeight="1" x14ac:dyDescent="0.25">
      <c r="B247" s="113">
        <v>2</v>
      </c>
      <c r="C247" s="114" t="s">
        <v>457</v>
      </c>
    </row>
    <row r="248" spans="2:3" ht="20.100000000000001" customHeight="1" x14ac:dyDescent="0.25">
      <c r="B248" s="113">
        <v>2</v>
      </c>
      <c r="C248" s="114" t="s">
        <v>458</v>
      </c>
    </row>
    <row r="249" spans="2:3" ht="20.100000000000001" customHeight="1" x14ac:dyDescent="0.25">
      <c r="B249" s="113">
        <v>2</v>
      </c>
      <c r="C249" s="114" t="s">
        <v>459</v>
      </c>
    </row>
    <row r="250" spans="2:3" ht="20.100000000000001" customHeight="1" x14ac:dyDescent="0.25">
      <c r="B250" s="113">
        <v>2</v>
      </c>
      <c r="C250" s="114" t="s">
        <v>460</v>
      </c>
    </row>
    <row r="251" spans="2:3" ht="20.100000000000001" customHeight="1" x14ac:dyDescent="0.25">
      <c r="B251" s="113">
        <v>1</v>
      </c>
      <c r="C251" s="114" t="s">
        <v>461</v>
      </c>
    </row>
    <row r="252" spans="2:3" ht="20.100000000000001" customHeight="1" x14ac:dyDescent="0.25">
      <c r="B252" s="113">
        <v>1</v>
      </c>
      <c r="C252" s="114" t="s">
        <v>462</v>
      </c>
    </row>
    <row r="253" spans="2:3" ht="20.100000000000001" customHeight="1" x14ac:dyDescent="0.25">
      <c r="B253" s="113">
        <v>1</v>
      </c>
      <c r="C253" s="114" t="s">
        <v>463</v>
      </c>
    </row>
    <row r="254" spans="2:3" ht="20.100000000000001" customHeight="1" x14ac:dyDescent="0.25">
      <c r="B254" s="113">
        <v>1</v>
      </c>
      <c r="C254" s="114" t="s">
        <v>464</v>
      </c>
    </row>
    <row r="255" spans="2:3" ht="20.100000000000001" customHeight="1" x14ac:dyDescent="0.25">
      <c r="B255" s="113">
        <v>1</v>
      </c>
      <c r="C255" s="114" t="s">
        <v>465</v>
      </c>
    </row>
    <row r="256" spans="2:3" ht="20.100000000000001" customHeight="1" x14ac:dyDescent="0.25">
      <c r="B256" s="113">
        <v>1</v>
      </c>
      <c r="C256" s="114" t="s">
        <v>466</v>
      </c>
    </row>
    <row r="257" spans="2:3" ht="20.100000000000001" customHeight="1" x14ac:dyDescent="0.25">
      <c r="B257" s="113">
        <v>1</v>
      </c>
      <c r="C257" s="114" t="s">
        <v>467</v>
      </c>
    </row>
    <row r="258" spans="2:3" ht="20.100000000000001" customHeight="1" x14ac:dyDescent="0.25">
      <c r="B258" s="113">
        <v>1</v>
      </c>
      <c r="C258" s="114" t="s">
        <v>468</v>
      </c>
    </row>
    <row r="259" spans="2:3" ht="20.100000000000001" customHeight="1" x14ac:dyDescent="0.25">
      <c r="B259" s="113">
        <v>1</v>
      </c>
      <c r="C259" s="114" t="s">
        <v>469</v>
      </c>
    </row>
    <row r="260" spans="2:3" ht="20.100000000000001" customHeight="1" x14ac:dyDescent="0.25">
      <c r="B260" s="115">
        <v>1</v>
      </c>
      <c r="C260" s="116" t="s">
        <v>470</v>
      </c>
    </row>
    <row r="261" spans="2:3" ht="20.100000000000001" customHeight="1" x14ac:dyDescent="0.25">
      <c r="B261" s="117">
        <v>22</v>
      </c>
      <c r="C261" s="109"/>
    </row>
    <row r="263" spans="2:3" ht="20.100000000000001" customHeight="1" x14ac:dyDescent="0.25">
      <c r="B263" s="118"/>
      <c r="C263" s="119" t="s">
        <v>471</v>
      </c>
    </row>
    <row r="264" spans="2:3" ht="20.100000000000001" customHeight="1" x14ac:dyDescent="0.25">
      <c r="B264" s="119" t="s">
        <v>25</v>
      </c>
      <c r="C264" s="119" t="s">
        <v>423</v>
      </c>
    </row>
    <row r="265" spans="2:3" ht="20.100000000000001" customHeight="1" x14ac:dyDescent="0.2">
      <c r="B265" s="118">
        <v>1</v>
      </c>
      <c r="C265" s="120" t="s">
        <v>472</v>
      </c>
    </row>
    <row r="266" spans="2:3" ht="20.100000000000001" customHeight="1" x14ac:dyDescent="0.2">
      <c r="B266" s="118">
        <v>1</v>
      </c>
      <c r="C266" s="120" t="s">
        <v>473</v>
      </c>
    </row>
    <row r="267" spans="2:3" ht="20.100000000000001" customHeight="1" x14ac:dyDescent="0.2">
      <c r="B267" s="118">
        <v>1</v>
      </c>
      <c r="C267" s="120" t="s">
        <v>474</v>
      </c>
    </row>
    <row r="268" spans="2:3" ht="20.100000000000001" customHeight="1" x14ac:dyDescent="0.2">
      <c r="B268" s="118">
        <v>1</v>
      </c>
      <c r="C268" s="120" t="s">
        <v>499</v>
      </c>
    </row>
    <row r="269" spans="2:3" ht="20.100000000000001" customHeight="1" x14ac:dyDescent="0.25">
      <c r="B269" s="119">
        <v>4</v>
      </c>
      <c r="C269" s="120"/>
    </row>
    <row r="270" spans="2:3" ht="20.100000000000001" customHeight="1" x14ac:dyDescent="0.2">
      <c r="B270" s="118">
        <v>1</v>
      </c>
      <c r="C270" s="120" t="s">
        <v>500</v>
      </c>
    </row>
    <row r="272" spans="2:3" ht="20.100000000000001" customHeight="1" x14ac:dyDescent="0.2">
      <c r="B272" s="146">
        <v>1</v>
      </c>
      <c r="C272" s="126" t="s">
        <v>475</v>
      </c>
    </row>
    <row r="273" spans="2:3" ht="20.100000000000001" customHeight="1" x14ac:dyDescent="0.2">
      <c r="B273" s="146">
        <v>6</v>
      </c>
      <c r="C273" s="126" t="s">
        <v>55</v>
      </c>
    </row>
    <row r="274" spans="2:3" ht="20.100000000000001" customHeight="1" x14ac:dyDescent="0.2">
      <c r="B274" s="146">
        <v>1</v>
      </c>
      <c r="C274" s="126" t="s">
        <v>56</v>
      </c>
    </row>
    <row r="275" spans="2:3" ht="20.100000000000001" customHeight="1" x14ac:dyDescent="0.2">
      <c r="B275" s="146">
        <v>1</v>
      </c>
      <c r="C275" s="126" t="s">
        <v>476</v>
      </c>
    </row>
    <row r="276" spans="2:3" ht="20.100000000000001" customHeight="1" x14ac:dyDescent="0.2">
      <c r="B276" s="146">
        <v>1</v>
      </c>
      <c r="C276" s="126" t="s">
        <v>477</v>
      </c>
    </row>
    <row r="277" spans="2:3" ht="20.100000000000001" customHeight="1" x14ac:dyDescent="0.2">
      <c r="B277" s="146">
        <v>1</v>
      </c>
      <c r="C277" s="126" t="s">
        <v>478</v>
      </c>
    </row>
    <row r="278" spans="2:3" ht="20.100000000000001" customHeight="1" x14ac:dyDescent="0.2">
      <c r="B278" s="146">
        <v>4</v>
      </c>
      <c r="C278" s="126" t="s">
        <v>479</v>
      </c>
    </row>
    <row r="279" spans="2:3" ht="20.100000000000001" customHeight="1" x14ac:dyDescent="0.2">
      <c r="B279" s="146">
        <v>2</v>
      </c>
      <c r="C279" s="126" t="s">
        <v>487</v>
      </c>
    </row>
    <row r="280" spans="2:3" ht="20.100000000000001" customHeight="1" x14ac:dyDescent="0.2">
      <c r="B280" s="146">
        <v>2</v>
      </c>
      <c r="C280" s="126" t="s">
        <v>488</v>
      </c>
    </row>
    <row r="281" spans="2:3" ht="20.100000000000001" customHeight="1" x14ac:dyDescent="0.25">
      <c r="B281" s="128">
        <v>18</v>
      </c>
      <c r="C281" s="126"/>
    </row>
    <row r="282" spans="2:3" ht="20.100000000000001" customHeight="1" x14ac:dyDescent="0.25">
      <c r="B282" s="145"/>
      <c r="C282" s="127"/>
    </row>
    <row r="283" spans="2:3" ht="20.100000000000001" customHeight="1" x14ac:dyDescent="0.25">
      <c r="B283" s="145"/>
      <c r="C283" s="127"/>
    </row>
    <row r="284" spans="2:3" ht="20.100000000000001" customHeight="1" x14ac:dyDescent="0.25">
      <c r="B284" s="147" t="s">
        <v>19</v>
      </c>
      <c r="C284" s="122"/>
    </row>
    <row r="285" spans="2:3" ht="20.100000000000001" customHeight="1" x14ac:dyDescent="0.25">
      <c r="B285" s="125" t="s">
        <v>480</v>
      </c>
      <c r="C285" s="122"/>
    </row>
    <row r="286" spans="2:3" ht="20.100000000000001" customHeight="1" x14ac:dyDescent="0.25">
      <c r="B286" s="125" t="s">
        <v>481</v>
      </c>
      <c r="C286" s="122"/>
    </row>
    <row r="287" spans="2:3" ht="20.100000000000001" customHeight="1" x14ac:dyDescent="0.25">
      <c r="B287" s="125" t="s">
        <v>482</v>
      </c>
      <c r="C287" s="122"/>
    </row>
    <row r="288" spans="2:3" ht="20.100000000000001" customHeight="1" x14ac:dyDescent="0.2">
      <c r="B288" s="129"/>
      <c r="C288" s="127"/>
    </row>
    <row r="289" spans="2:3" ht="20.100000000000001" customHeight="1" x14ac:dyDescent="0.2">
      <c r="B289" s="129"/>
      <c r="C289" s="127"/>
    </row>
    <row r="290" spans="2:3" ht="20.100000000000001" customHeight="1" x14ac:dyDescent="0.2">
      <c r="B290" s="129"/>
      <c r="C290" s="127"/>
    </row>
    <row r="291" spans="2:3" ht="20.100000000000001" customHeight="1" x14ac:dyDescent="0.2">
      <c r="B291" s="129"/>
      <c r="C291" s="127"/>
    </row>
    <row r="292" spans="2:3" ht="20.100000000000001" customHeight="1" thickBot="1" x14ac:dyDescent="0.25">
      <c r="B292" s="127" t="s">
        <v>483</v>
      </c>
      <c r="C292" s="130"/>
    </row>
    <row r="293" spans="2:3" ht="20.100000000000001" customHeight="1" x14ac:dyDescent="0.2">
      <c r="B293" s="127"/>
      <c r="C293" s="127"/>
    </row>
    <row r="294" spans="2:3" ht="20.100000000000001" customHeight="1" x14ac:dyDescent="0.2">
      <c r="B294" s="127"/>
      <c r="C294" s="127"/>
    </row>
    <row r="295" spans="2:3" ht="20.100000000000001" customHeight="1" x14ac:dyDescent="0.2">
      <c r="B295" s="127"/>
      <c r="C295" s="127"/>
    </row>
    <row r="296" spans="2:3" ht="20.100000000000001" customHeight="1" thickBot="1" x14ac:dyDescent="0.25">
      <c r="B296" s="127" t="s">
        <v>484</v>
      </c>
      <c r="C296" s="130"/>
    </row>
    <row r="297" spans="2:3" ht="20.100000000000001" customHeight="1" x14ac:dyDescent="0.2">
      <c r="B297" s="127"/>
      <c r="C297" s="127"/>
    </row>
    <row r="298" spans="2:3" ht="20.100000000000001" customHeight="1" x14ac:dyDescent="0.2">
      <c r="B298" s="127"/>
      <c r="C298" s="127"/>
    </row>
    <row r="299" spans="2:3" ht="20.100000000000001" customHeight="1" x14ac:dyDescent="0.2">
      <c r="B299" s="127"/>
      <c r="C299" s="127"/>
    </row>
    <row r="300" spans="2:3" ht="20.100000000000001" customHeight="1" thickBot="1" x14ac:dyDescent="0.25">
      <c r="B300" s="127" t="s">
        <v>485</v>
      </c>
      <c r="C300" s="130"/>
    </row>
    <row r="301" spans="2:3" ht="20.100000000000001" customHeight="1" x14ac:dyDescent="0.2">
      <c r="B301" s="127"/>
      <c r="C301" s="127"/>
    </row>
    <row r="302" spans="2:3" ht="20.100000000000001" customHeight="1" x14ac:dyDescent="0.2">
      <c r="B302" s="131"/>
      <c r="C302" s="132"/>
    </row>
    <row r="303" spans="2:3" ht="20.100000000000001" customHeight="1" thickBot="1" x14ac:dyDescent="0.25">
      <c r="B303" s="127" t="s">
        <v>486</v>
      </c>
      <c r="C303" s="130"/>
    </row>
    <row r="304" spans="2:3" ht="20.100000000000001" customHeight="1" x14ac:dyDescent="0.2">
      <c r="B304" s="127"/>
      <c r="C304" s="127"/>
    </row>
    <row r="305" spans="2:3" ht="20.100000000000001" customHeight="1" x14ac:dyDescent="0.2">
      <c r="B305" s="127"/>
      <c r="C305" s="127"/>
    </row>
    <row r="306" spans="2:3" ht="20.100000000000001" customHeight="1" thickBot="1" x14ac:dyDescent="0.25">
      <c r="B306" s="127" t="s">
        <v>15</v>
      </c>
      <c r="C306" s="130"/>
    </row>
    <row r="307" spans="2:3" ht="20.100000000000001" customHeight="1" x14ac:dyDescent="0.2">
      <c r="B307" s="129"/>
      <c r="C307" s="127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5">
    <mergeCell ref="A11:B11"/>
    <mergeCell ref="M5:N6"/>
    <mergeCell ref="D2:E2"/>
    <mergeCell ref="C4:C5"/>
    <mergeCell ref="C2:C3"/>
  </mergeCells>
  <conditionalFormatting sqref="A30:A31 A24:A27">
    <cfRule type="duplicateValues" dxfId="11" priority="10"/>
  </conditionalFormatting>
  <conditionalFormatting sqref="A33:A41">
    <cfRule type="duplicateValues" dxfId="10" priority="9"/>
  </conditionalFormatting>
  <conditionalFormatting sqref="A65">
    <cfRule type="duplicateValues" dxfId="9" priority="8"/>
  </conditionalFormatting>
  <conditionalFormatting sqref="A76:A85">
    <cfRule type="duplicateValues" dxfId="8" priority="7"/>
  </conditionalFormatting>
  <conditionalFormatting sqref="A66:A74">
    <cfRule type="duplicateValues" dxfId="7" priority="11"/>
  </conditionalFormatting>
  <conditionalFormatting sqref="A43:A48">
    <cfRule type="duplicateValues" dxfId="6" priority="6"/>
  </conditionalFormatting>
  <conditionalFormatting sqref="A50:A51">
    <cfRule type="duplicateValues" dxfId="5" priority="5"/>
  </conditionalFormatting>
  <conditionalFormatting sqref="A53:A56">
    <cfRule type="duplicateValues" dxfId="4" priority="4"/>
  </conditionalFormatting>
  <conditionalFormatting sqref="A52">
    <cfRule type="duplicateValues" dxfId="3" priority="3"/>
  </conditionalFormatting>
  <conditionalFormatting sqref="A58:A63">
    <cfRule type="duplicateValues" dxfId="2" priority="12"/>
  </conditionalFormatting>
  <conditionalFormatting sqref="A93:A94 A87:A90">
    <cfRule type="duplicateValues" dxfId="1" priority="1"/>
  </conditionalFormatting>
  <conditionalFormatting sqref="A96:A100">
    <cfRule type="duplicateValues" dxfId="0" priority="2"/>
  </conditionalFormatting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AA16C-CC96-49E9-B17A-C7255E9018B6}">
  <dimension ref="A1:M46"/>
  <sheetViews>
    <sheetView view="pageBreakPreview" zoomScale="60" zoomScaleNormal="78" workbookViewId="0">
      <selection activeCell="D35" sqref="D35"/>
    </sheetView>
  </sheetViews>
  <sheetFormatPr baseColWidth="10" defaultColWidth="8.42578125" defaultRowHeight="20.100000000000001" customHeight="1" x14ac:dyDescent="0.2"/>
  <cols>
    <col min="1" max="1" width="21.7109375" style="127" bestFit="1" customWidth="1"/>
    <col min="2" max="2" width="21.7109375" style="127" customWidth="1"/>
    <col min="3" max="3" width="82.5703125" style="127" bestFit="1" customWidth="1"/>
    <col min="4" max="4" width="22.85546875" style="127" bestFit="1" customWidth="1"/>
    <col min="5" max="5" width="25" style="150" customWidth="1"/>
    <col min="6" max="6" width="17.85546875" style="127" customWidth="1"/>
    <col min="7" max="7" width="14.85546875" style="127" customWidth="1"/>
    <col min="8" max="16384" width="8.42578125" style="127"/>
  </cols>
  <sheetData>
    <row r="1" spans="1:13" ht="15.75" thickBot="1" x14ac:dyDescent="0.25"/>
    <row r="2" spans="1:13" ht="16.5" thickBot="1" x14ac:dyDescent="0.3">
      <c r="A2" s="135"/>
      <c r="B2" s="136"/>
      <c r="C2" s="151" t="s">
        <v>21</v>
      </c>
      <c r="D2" s="152" t="s">
        <v>20</v>
      </c>
      <c r="E2" s="153"/>
    </row>
    <row r="3" spans="1:13" ht="16.5" thickBot="1" x14ac:dyDescent="0.3">
      <c r="A3" s="137"/>
      <c r="B3" s="138"/>
      <c r="C3" s="154"/>
      <c r="D3" s="155" t="s">
        <v>23</v>
      </c>
      <c r="E3" s="139"/>
    </row>
    <row r="4" spans="1:13" ht="16.5" thickBot="1" x14ac:dyDescent="0.3">
      <c r="A4" s="137"/>
      <c r="B4" s="138"/>
      <c r="C4" s="156" t="s">
        <v>22</v>
      </c>
      <c r="D4" s="157" t="s">
        <v>489</v>
      </c>
      <c r="E4" s="158"/>
    </row>
    <row r="5" spans="1:13" s="122" customFormat="1" ht="18.75" thickBot="1" x14ac:dyDescent="0.3">
      <c r="A5" s="140"/>
      <c r="B5" s="141"/>
      <c r="C5" s="159"/>
      <c r="D5" s="160" t="s">
        <v>490</v>
      </c>
      <c r="E5" s="161"/>
      <c r="F5" s="162"/>
      <c r="G5" s="162"/>
      <c r="H5" s="162"/>
      <c r="I5" s="163"/>
      <c r="J5" s="164"/>
    </row>
    <row r="6" spans="1:13" s="122" customFormat="1" ht="18" x14ac:dyDescent="0.25">
      <c r="A6" s="142"/>
      <c r="B6" s="142"/>
      <c r="C6" s="142"/>
      <c r="D6" s="142"/>
      <c r="E6" s="142"/>
      <c r="F6" s="123"/>
      <c r="G6" s="162"/>
      <c r="H6" s="162"/>
      <c r="I6" s="163"/>
      <c r="J6" s="164"/>
    </row>
    <row r="7" spans="1:13" s="122" customFormat="1" ht="23.25" x14ac:dyDescent="0.35">
      <c r="A7" s="18" t="s">
        <v>0</v>
      </c>
      <c r="B7" s="18"/>
      <c r="C7" s="25">
        <v>45056</v>
      </c>
      <c r="D7" s="18" t="s">
        <v>1</v>
      </c>
      <c r="E7" s="19">
        <v>20230500544</v>
      </c>
      <c r="F7" s="123"/>
      <c r="G7" s="165"/>
      <c r="H7" s="165"/>
      <c r="I7" s="165"/>
      <c r="J7" s="165"/>
    </row>
    <row r="8" spans="1:13" s="122" customFormat="1" ht="23.25" x14ac:dyDescent="0.35">
      <c r="A8" s="20"/>
      <c r="B8" s="20"/>
      <c r="C8" s="20"/>
      <c r="D8" s="20"/>
      <c r="E8" s="20"/>
      <c r="F8" s="121"/>
      <c r="G8" s="165"/>
      <c r="H8" s="165"/>
      <c r="I8" s="165"/>
      <c r="J8" s="165"/>
      <c r="K8" s="133"/>
      <c r="L8" s="166"/>
      <c r="M8" s="166"/>
    </row>
    <row r="9" spans="1:13" s="133" customFormat="1" ht="15.75" x14ac:dyDescent="0.2">
      <c r="A9" s="18" t="s">
        <v>2</v>
      </c>
      <c r="B9" s="18"/>
      <c r="C9" s="24" t="s">
        <v>59</v>
      </c>
      <c r="D9" s="21" t="s">
        <v>3</v>
      </c>
      <c r="E9" s="149" t="s">
        <v>61</v>
      </c>
      <c r="L9" s="166"/>
      <c r="M9" s="166"/>
    </row>
    <row r="10" spans="1:13" s="133" customFormat="1" ht="15.75" x14ac:dyDescent="0.25">
      <c r="A10" s="20"/>
      <c r="B10" s="20"/>
      <c r="C10" s="20"/>
      <c r="D10" s="20"/>
      <c r="E10" s="20"/>
      <c r="L10" s="167"/>
      <c r="M10" s="167"/>
    </row>
    <row r="11" spans="1:13" s="133" customFormat="1" ht="15.75" x14ac:dyDescent="0.2">
      <c r="A11" s="70" t="s">
        <v>18</v>
      </c>
      <c r="B11" s="71"/>
      <c r="C11" s="22" t="s">
        <v>59</v>
      </c>
      <c r="D11" s="21" t="s">
        <v>19</v>
      </c>
      <c r="E11" s="23" t="s">
        <v>62</v>
      </c>
      <c r="F11" s="144"/>
      <c r="L11" s="167"/>
      <c r="M11" s="167"/>
    </row>
    <row r="12" spans="1:13" s="133" customFormat="1" ht="16.5" thickBot="1" x14ac:dyDescent="0.3">
      <c r="A12" s="20"/>
      <c r="B12" s="20"/>
      <c r="C12" s="20"/>
      <c r="D12" s="20"/>
      <c r="E12" s="20"/>
      <c r="F12" s="127"/>
      <c r="L12" s="167"/>
      <c r="M12" s="167"/>
    </row>
    <row r="13" spans="1:13" s="133" customFormat="1" ht="32.25" thickBot="1" x14ac:dyDescent="0.25">
      <c r="A13" s="18" t="s">
        <v>4</v>
      </c>
      <c r="B13" s="18"/>
      <c r="C13" s="148" t="s">
        <v>58</v>
      </c>
      <c r="D13" s="21" t="s">
        <v>5</v>
      </c>
      <c r="E13" s="22" t="s">
        <v>24</v>
      </c>
      <c r="F13" s="168"/>
      <c r="L13" s="167"/>
      <c r="M13" s="167"/>
    </row>
    <row r="14" spans="1:13" s="133" customFormat="1" ht="15.75" x14ac:dyDescent="0.25">
      <c r="A14" s="20"/>
      <c r="B14" s="20"/>
      <c r="C14" s="20"/>
      <c r="D14" s="20"/>
      <c r="E14" s="20"/>
      <c r="F14" s="127"/>
      <c r="L14" s="167"/>
      <c r="M14" s="167"/>
    </row>
    <row r="15" spans="1:13" s="133" customFormat="1" ht="15.75" x14ac:dyDescent="0.2">
      <c r="A15" s="18" t="s">
        <v>6</v>
      </c>
      <c r="B15" s="18"/>
      <c r="C15" s="25">
        <v>45057</v>
      </c>
      <c r="D15" s="21" t="s">
        <v>7</v>
      </c>
      <c r="E15" s="26" t="s">
        <v>63</v>
      </c>
      <c r="F15" s="143"/>
      <c r="L15" s="167"/>
      <c r="M15" s="167"/>
    </row>
    <row r="16" spans="1:13" s="133" customFormat="1" ht="15.75" x14ac:dyDescent="0.25">
      <c r="A16" s="20"/>
      <c r="B16" s="20"/>
      <c r="C16" s="20"/>
      <c r="D16" s="20"/>
      <c r="E16" s="20"/>
      <c r="F16" s="127"/>
      <c r="L16" s="169"/>
      <c r="M16" s="169"/>
    </row>
    <row r="17" spans="1:13" s="133" customFormat="1" ht="15.75" x14ac:dyDescent="0.2">
      <c r="A17" s="18" t="s">
        <v>8</v>
      </c>
      <c r="B17" s="18"/>
      <c r="C17" s="22" t="s">
        <v>60</v>
      </c>
      <c r="D17" s="27"/>
      <c r="E17" s="28"/>
      <c r="F17" s="170"/>
      <c r="L17" s="169"/>
      <c r="M17" s="169"/>
    </row>
    <row r="18" spans="1:13" s="133" customFormat="1" ht="15.75" x14ac:dyDescent="0.25">
      <c r="A18" s="20"/>
      <c r="B18" s="20"/>
      <c r="C18" s="20"/>
      <c r="D18" s="20"/>
      <c r="E18" s="20"/>
      <c r="F18" s="100"/>
      <c r="G18" s="100"/>
      <c r="L18" s="171"/>
      <c r="M18" s="171"/>
    </row>
    <row r="19" spans="1:13" s="133" customFormat="1" ht="15.75" x14ac:dyDescent="0.2">
      <c r="A19" s="18" t="s">
        <v>9</v>
      </c>
      <c r="B19" s="18"/>
      <c r="C19" s="22" t="s">
        <v>64</v>
      </c>
      <c r="D19" s="21" t="s">
        <v>16</v>
      </c>
      <c r="E19" s="26"/>
      <c r="F19" s="143"/>
      <c r="G19" s="143"/>
      <c r="L19" s="171"/>
      <c r="M19" s="171"/>
    </row>
    <row r="20" spans="1:13" s="133" customFormat="1" ht="15.75" x14ac:dyDescent="0.25">
      <c r="A20" s="20"/>
      <c r="B20" s="20"/>
      <c r="C20" s="20"/>
      <c r="D20" s="20"/>
      <c r="E20" s="20"/>
      <c r="F20" s="100"/>
      <c r="G20" s="100"/>
      <c r="L20" s="171"/>
      <c r="M20" s="171"/>
    </row>
    <row r="21" spans="1:13" s="133" customFormat="1" ht="15.75" x14ac:dyDescent="0.2">
      <c r="A21" s="18" t="s">
        <v>17</v>
      </c>
      <c r="B21" s="18"/>
      <c r="C21" s="29"/>
      <c r="D21" s="30"/>
      <c r="E21" s="31"/>
      <c r="F21" s="143"/>
      <c r="G21" s="143"/>
      <c r="L21" s="171"/>
      <c r="M21" s="171"/>
    </row>
    <row r="22" spans="1:13" s="133" customFormat="1" ht="15" x14ac:dyDescent="0.2">
      <c r="A22" s="129"/>
      <c r="B22" s="129"/>
      <c r="C22" s="127"/>
      <c r="D22" s="127"/>
      <c r="E22" s="127"/>
      <c r="F22" s="127"/>
      <c r="G22" s="127"/>
      <c r="L22" s="172"/>
      <c r="M22" s="172"/>
    </row>
    <row r="23" spans="1:13" s="133" customFormat="1" ht="15.75" x14ac:dyDescent="0.2">
      <c r="A23" s="173" t="s">
        <v>491</v>
      </c>
      <c r="B23" s="174" t="s">
        <v>492</v>
      </c>
      <c r="C23" s="175" t="s">
        <v>54</v>
      </c>
      <c r="D23" s="176"/>
      <c r="E23" s="173" t="s">
        <v>493</v>
      </c>
      <c r="F23" s="177" t="s">
        <v>25</v>
      </c>
      <c r="G23" s="178" t="s">
        <v>14</v>
      </c>
      <c r="L23" s="172"/>
      <c r="M23" s="172"/>
    </row>
    <row r="24" spans="1:13" s="133" customFormat="1" ht="20.25" x14ac:dyDescent="0.3">
      <c r="A24" s="179">
        <v>880200</v>
      </c>
      <c r="B24" s="179">
        <v>42111</v>
      </c>
      <c r="C24" s="180" t="s">
        <v>494</v>
      </c>
      <c r="D24" s="181"/>
      <c r="E24" s="182">
        <v>45735</v>
      </c>
      <c r="F24" s="183" t="s">
        <v>498</v>
      </c>
      <c r="G24" s="184"/>
      <c r="L24" s="172"/>
      <c r="M24" s="172"/>
    </row>
    <row r="25" spans="1:13" s="133" customFormat="1" ht="15" x14ac:dyDescent="0.2">
      <c r="A25" s="185"/>
      <c r="B25" s="185"/>
      <c r="C25" s="185"/>
      <c r="D25" s="185"/>
      <c r="E25" s="185"/>
      <c r="F25" s="185"/>
      <c r="G25" s="185"/>
      <c r="L25" s="172"/>
      <c r="M25" s="172"/>
    </row>
    <row r="26" spans="1:13" s="133" customFormat="1" ht="15.75" x14ac:dyDescent="0.25">
      <c r="A26" s="186"/>
      <c r="B26" s="187"/>
      <c r="C26" s="188"/>
      <c r="D26" s="188"/>
      <c r="E26" s="188"/>
      <c r="F26" s="189"/>
      <c r="G26" s="190"/>
      <c r="L26" s="172"/>
      <c r="M26" s="172"/>
    </row>
    <row r="27" spans="1:13" s="133" customFormat="1" ht="15.75" x14ac:dyDescent="0.25">
      <c r="A27" s="191"/>
      <c r="B27" s="192"/>
      <c r="C27" s="193"/>
      <c r="D27" s="193"/>
      <c r="E27" s="193"/>
      <c r="F27" s="194"/>
      <c r="G27" s="195"/>
      <c r="L27" s="172"/>
      <c r="M27" s="172"/>
    </row>
    <row r="28" spans="1:13" s="133" customFormat="1" ht="15.75" x14ac:dyDescent="0.25">
      <c r="A28" s="191"/>
      <c r="B28" s="192"/>
      <c r="C28" s="193"/>
      <c r="D28" s="193"/>
      <c r="E28" s="193"/>
      <c r="F28" s="194"/>
      <c r="G28" s="195"/>
      <c r="L28" s="172"/>
      <c r="M28" s="172"/>
    </row>
    <row r="29" spans="1:13" s="133" customFormat="1" ht="15" x14ac:dyDescent="0.2">
      <c r="A29" s="129"/>
      <c r="B29" s="129"/>
      <c r="C29" s="127"/>
      <c r="D29" s="127"/>
      <c r="E29" s="127"/>
      <c r="F29" s="127"/>
      <c r="G29" s="127"/>
      <c r="L29" s="172"/>
      <c r="M29" s="172"/>
    </row>
    <row r="30" spans="1:13" s="133" customFormat="1" ht="15" x14ac:dyDescent="0.2">
      <c r="E30" s="127"/>
      <c r="F30" s="127"/>
      <c r="G30" s="127"/>
      <c r="L30" s="172"/>
      <c r="M30" s="172"/>
    </row>
    <row r="31" spans="1:13" s="133" customFormat="1" ht="15" x14ac:dyDescent="0.2">
      <c r="A31" s="129"/>
      <c r="B31" s="129"/>
      <c r="C31" s="127"/>
      <c r="D31" s="127"/>
      <c r="E31" s="127"/>
      <c r="F31" s="127"/>
      <c r="G31" s="127"/>
      <c r="L31" s="172"/>
      <c r="M31" s="172"/>
    </row>
    <row r="32" spans="1:13" ht="15.75" x14ac:dyDescent="0.25">
      <c r="A32" s="129"/>
      <c r="B32" s="134"/>
      <c r="C32" s="196"/>
      <c r="D32" s="196"/>
      <c r="E32" s="122"/>
    </row>
    <row r="33" spans="1:7" s="193" customFormat="1" ht="18.75" thickBot="1" x14ac:dyDescent="0.3">
      <c r="A33" s="124" t="s">
        <v>495</v>
      </c>
      <c r="C33" s="197"/>
    </row>
    <row r="34" spans="1:7" s="193" customFormat="1" ht="18" x14ac:dyDescent="0.25">
      <c r="A34" s="124"/>
      <c r="G34" s="191"/>
    </row>
    <row r="35" spans="1:7" s="193" customFormat="1" ht="18" x14ac:dyDescent="0.25">
      <c r="A35" s="124"/>
      <c r="G35" s="191"/>
    </row>
    <row r="36" spans="1:7" s="193" customFormat="1" ht="18" x14ac:dyDescent="0.25">
      <c r="A36" s="124"/>
      <c r="G36" s="191"/>
    </row>
    <row r="37" spans="1:7" s="193" customFormat="1" ht="18.75" thickBot="1" x14ac:dyDescent="0.3">
      <c r="A37" s="124" t="s">
        <v>496</v>
      </c>
      <c r="C37" s="197"/>
      <c r="G37" s="191"/>
    </row>
    <row r="38" spans="1:7" s="193" customFormat="1" ht="18" x14ac:dyDescent="0.25">
      <c r="A38" s="124"/>
      <c r="G38" s="191"/>
    </row>
    <row r="39" spans="1:7" s="122" customFormat="1" ht="18" x14ac:dyDescent="0.25">
      <c r="A39" s="124"/>
    </row>
    <row r="40" spans="1:7" s="193" customFormat="1" ht="18.75" thickBot="1" x14ac:dyDescent="0.3">
      <c r="A40" s="124" t="s">
        <v>57</v>
      </c>
      <c r="C40" s="197"/>
      <c r="G40" s="191"/>
    </row>
    <row r="41" spans="1:7" s="193" customFormat="1" ht="18" x14ac:dyDescent="0.25">
      <c r="A41" s="124"/>
      <c r="G41" s="191"/>
    </row>
    <row r="42" spans="1:7" s="199" customFormat="1" ht="18" x14ac:dyDescent="0.25">
      <c r="A42" s="198"/>
      <c r="B42" s="131"/>
      <c r="C42" s="132"/>
    </row>
    <row r="43" spans="1:7" s="199" customFormat="1" ht="18.75" thickBot="1" x14ac:dyDescent="0.3">
      <c r="A43" s="124" t="s">
        <v>497</v>
      </c>
      <c r="B43" s="193"/>
      <c r="C43" s="197"/>
    </row>
    <row r="44" spans="1:7" ht="18" x14ac:dyDescent="0.25">
      <c r="A44" s="124"/>
    </row>
    <row r="45" spans="1:7" ht="18" x14ac:dyDescent="0.25">
      <c r="A45" s="124"/>
    </row>
    <row r="46" spans="1:7" ht="18.75" thickBot="1" x14ac:dyDescent="0.3">
      <c r="A46" s="124" t="s">
        <v>15</v>
      </c>
      <c r="C46" s="130"/>
    </row>
  </sheetData>
  <mergeCells count="9">
    <mergeCell ref="A11:B11"/>
    <mergeCell ref="C23:D23"/>
    <mergeCell ref="C24:D24"/>
    <mergeCell ref="C2:C3"/>
    <mergeCell ref="D2:E2"/>
    <mergeCell ref="C4:C5"/>
    <mergeCell ref="D4:E4"/>
    <mergeCell ref="D5:E5"/>
    <mergeCell ref="L8:M9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82CA7179-AAFA-4C8E-AC01-9A0BBAD2902B}"/>
  </dataValidations>
  <pageMargins left="0.7" right="0.7" top="0.75" bottom="0.75" header="0.3" footer="0.3"/>
  <pageSetup paperSize="9" scale="40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53</v>
      </c>
      <c r="B1" s="37" t="s">
        <v>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34</v>
      </c>
    </row>
    <row r="2" spans="1:1" x14ac:dyDescent="0.25">
      <c r="A2" t="s">
        <v>35</v>
      </c>
    </row>
    <row r="3" spans="1:1" x14ac:dyDescent="0.25">
      <c r="A3" t="s">
        <v>36</v>
      </c>
    </row>
    <row r="4" spans="1:1" x14ac:dyDescent="0.25">
      <c r="A4" t="s">
        <v>37</v>
      </c>
    </row>
    <row r="5" spans="1:1" x14ac:dyDescent="0.25">
      <c r="A5" t="s">
        <v>38</v>
      </c>
    </row>
    <row r="6" spans="1:1" x14ac:dyDescent="0.25">
      <c r="A6" t="s">
        <v>39</v>
      </c>
    </row>
    <row r="7" spans="1:1" x14ac:dyDescent="0.25">
      <c r="A7" t="s">
        <v>40</v>
      </c>
    </row>
    <row r="8" spans="1:1" x14ac:dyDescent="0.25">
      <c r="A8" t="s">
        <v>41</v>
      </c>
    </row>
    <row r="9" spans="1:1" x14ac:dyDescent="0.25">
      <c r="A9" t="s">
        <v>42</v>
      </c>
    </row>
    <row r="10" spans="1:1" x14ac:dyDescent="0.25">
      <c r="A10" t="s">
        <v>43</v>
      </c>
    </row>
    <row r="11" spans="1:1" x14ac:dyDescent="0.25">
      <c r="A11" t="s">
        <v>44</v>
      </c>
    </row>
    <row r="12" spans="1:1" x14ac:dyDescent="0.25">
      <c r="A12" t="s">
        <v>45</v>
      </c>
    </row>
    <row r="13" spans="1:1" x14ac:dyDescent="0.25">
      <c r="A13" t="s">
        <v>46</v>
      </c>
    </row>
    <row r="14" spans="1:1" x14ac:dyDescent="0.25">
      <c r="A14" t="s">
        <v>47</v>
      </c>
    </row>
    <row r="15" spans="1:1" x14ac:dyDescent="0.25">
      <c r="A15" t="s">
        <v>48</v>
      </c>
    </row>
    <row r="16" spans="1:1" x14ac:dyDescent="0.25">
      <c r="A16" t="s">
        <v>49</v>
      </c>
    </row>
    <row r="17" spans="1:1" x14ac:dyDescent="0.25">
      <c r="A17" t="s">
        <v>50</v>
      </c>
    </row>
    <row r="18" spans="1:1" x14ac:dyDescent="0.25">
      <c r="A18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Hoja1</vt:lpstr>
      <vt:lpstr>Hoja3</vt:lpstr>
      <vt:lpstr>Hoja4</vt:lpstr>
      <vt:lpstr>Hoja2</vt:lpstr>
      <vt:lpstr>Hoja1!Área_de_impresión</vt:lpstr>
      <vt:lpstr>Hoja3!Área_de_impresión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User</cp:lastModifiedBy>
  <cp:lastPrinted>2023-05-10T16:50:54Z</cp:lastPrinted>
  <dcterms:created xsi:type="dcterms:W3CDTF">2023-01-26T13:28:36Z</dcterms:created>
  <dcterms:modified xsi:type="dcterms:W3CDTF">2023-05-10T16:50:55Z</dcterms:modified>
</cp:coreProperties>
</file>