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MEVET\"/>
    </mc:Choice>
  </mc:AlternateContent>
  <xr:revisionPtr revIDLastSave="0" documentId="13_ncr:1_{FA0B03FE-5F8A-4605-9C07-1811680564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Hoja1!$A$2:$E$170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3" i="1" l="1"/>
  <c r="B135" i="1"/>
  <c r="D116" i="1"/>
  <c r="D98" i="1"/>
  <c r="D82" i="1"/>
  <c r="D77" i="1" l="1"/>
  <c r="D58" i="1"/>
  <c r="D46" i="1"/>
  <c r="D36" i="1"/>
  <c r="B157" i="1" l="1"/>
  <c r="C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E7" authorId="0" shapeId="0" xr:uid="{1D26F7EF-E7A2-40A2-BE1F-1E839AA40D2F}">
      <text>
        <r>
          <rPr>
            <b/>
            <sz val="12"/>
            <color indexed="81"/>
            <rFont val="Tahoma"/>
            <family val="2"/>
          </rPr>
          <t>No. DOC.
AÑO,MES Y SECUENCIA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" authorId="0" shapeId="0" xr:uid="{84418BC6-4AA2-409D-AFFA-DD9DEEC47D8F}">
      <text>
        <r>
          <rPr>
            <b/>
            <sz val="13"/>
            <color indexed="81"/>
            <rFont val="Tahoma"/>
            <family val="2"/>
          </rPr>
          <t>CLIENTE:
Razon social y ruc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 shapeId="0" xr:uid="{607771F6-9093-4EFB-9A18-AF8F903CC92D}">
      <text>
        <r>
          <rPr>
            <b/>
            <sz val="13"/>
            <color indexed="81"/>
            <rFont val="Tahoma"/>
            <family val="2"/>
          </rPr>
          <t>CLIENTE:
Razon social y ruc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 shapeId="0" xr:uid="{81010D3A-2A88-41A1-A170-C71C3D8B294A}">
      <text>
        <r>
          <rPr>
            <b/>
            <sz val="12"/>
            <color indexed="81"/>
            <rFont val="Tahoma"/>
            <family val="2"/>
          </rPr>
          <t>NOTA:
CODIFICACION SI ES PARA:
- JAIRO PINEDA CORAL
- INQUIORT S.A.</t>
        </r>
      </text>
    </comment>
  </commentList>
</comments>
</file>

<file path=xl/sharedStrings.xml><?xml version="1.0" encoding="utf-8"?>
<sst xmlns="http://schemas.openxmlformats.org/spreadsheetml/2006/main" count="293" uniqueCount="247">
  <si>
    <t>FECHA DE EMISIÓN:</t>
  </si>
  <si>
    <t>No. DOC</t>
  </si>
  <si>
    <t>NOMBRE CLIENTE</t>
  </si>
  <si>
    <t>RUC. CLIENTE</t>
  </si>
  <si>
    <t>PUNTO DE LLEGADA</t>
  </si>
  <si>
    <t>MOTIVO DE TRASLADO</t>
  </si>
  <si>
    <t>FECHA CIRUGÍA</t>
  </si>
  <si>
    <t>HORA  CIRUGIA</t>
  </si>
  <si>
    <t>NOMBRE MÉDICO</t>
  </si>
  <si>
    <t>NOMBRE PACIENTE</t>
  </si>
  <si>
    <t>COD. ARTICULO</t>
  </si>
  <si>
    <t>Lote</t>
  </si>
  <si>
    <t xml:space="preserve">DESCRIPCION ARTICULO </t>
  </si>
  <si>
    <t>CANT.</t>
  </si>
  <si>
    <t>DESCARGO</t>
  </si>
  <si>
    <t xml:space="preserve">TIPO DE SEGURO </t>
  </si>
  <si>
    <t xml:space="preserve">IDENTIFICACION DEL PACIENTE </t>
  </si>
  <si>
    <t>INSTITUCION/CLINICA/HOSPITAL</t>
  </si>
  <si>
    <t>NOTA</t>
  </si>
  <si>
    <t>Código: R-ORT-02</t>
  </si>
  <si>
    <t>REGISTRO DE NOTA DE ENTREGA</t>
  </si>
  <si>
    <t>ANEXO AL PROCEDIMIENTO DE DESPACHO</t>
  </si>
  <si>
    <t>VERSION: 01</t>
  </si>
  <si>
    <t>Fecha de elaboración: 22/02/2023</t>
  </si>
  <si>
    <t>Vigente hasta: 22/02/2026</t>
  </si>
  <si>
    <t>CANTIDAD</t>
  </si>
  <si>
    <t>DESCRIPCION</t>
  </si>
  <si>
    <t>BANDEJA SUPERIOR</t>
  </si>
  <si>
    <t>MEDIDOR DE PROFUNDIDAD</t>
  </si>
  <si>
    <t>PINES</t>
  </si>
  <si>
    <t>SEPARADORES MINIHOMMAN FINOS</t>
  </si>
  <si>
    <t>BANDEJA INFERIOR</t>
  </si>
  <si>
    <t>ENTREGADO POR:</t>
  </si>
  <si>
    <t>RECIBIDO POR:</t>
  </si>
  <si>
    <t>INSRUMENTADOR</t>
  </si>
  <si>
    <t>VERIFICADO POR:</t>
  </si>
  <si>
    <t>INQ</t>
  </si>
  <si>
    <t>VENTA -CIRUGÍA</t>
  </si>
  <si>
    <t xml:space="preserve">AMEVET </t>
  </si>
  <si>
    <t>AMEVET</t>
  </si>
  <si>
    <t xml:space="preserve">GUAYAQUIL </t>
  </si>
  <si>
    <t>DR. VALENZUELA</t>
  </si>
  <si>
    <t xml:space="preserve">OBSERVACIONES </t>
  </si>
  <si>
    <t xml:space="preserve">9:00AM </t>
  </si>
  <si>
    <t>T50022408</t>
  </si>
  <si>
    <t>2200018926</t>
  </si>
  <si>
    <t>TORNILLO CORTICAL 2.4*8mm TITANIO</t>
  </si>
  <si>
    <t>T50022410</t>
  </si>
  <si>
    <t>2200094139</t>
  </si>
  <si>
    <t>TORNILLO CORTICAL 2.4*10mm TITANIO</t>
  </si>
  <si>
    <t>040240012</t>
  </si>
  <si>
    <t>2200018447</t>
  </si>
  <si>
    <t xml:space="preserve">TORNILLO CORTICAL 2.4*12mm TITANIO </t>
  </si>
  <si>
    <t>030350014</t>
  </si>
  <si>
    <t>2200027256</t>
  </si>
  <si>
    <t xml:space="preserve">TORNILLO CORTICAL 2.4*14mm TITANIO </t>
  </si>
  <si>
    <t>030350016</t>
  </si>
  <si>
    <t>1601030351</t>
  </si>
  <si>
    <t xml:space="preserve">TORNILLO CORTICAL 2.4*16mm TITANIO </t>
  </si>
  <si>
    <t>030350018</t>
  </si>
  <si>
    <t>2200063348</t>
  </si>
  <si>
    <t xml:space="preserve">TORNILLO CORTICAL 2.4*18mm TITANIO  </t>
  </si>
  <si>
    <t>030350020</t>
  </si>
  <si>
    <t>2200061200</t>
  </si>
  <si>
    <t xml:space="preserve">TORNILLO CORTICAL 2.4*20mm TITANIO </t>
  </si>
  <si>
    <t>030350022</t>
  </si>
  <si>
    <t>2200028229</t>
  </si>
  <si>
    <t xml:space="preserve">TORNILLO CORTICAL 2.4*22mm TITANIO </t>
  </si>
  <si>
    <t>040240024</t>
  </si>
  <si>
    <t>2100052150</t>
  </si>
  <si>
    <t xml:space="preserve">TORNILLO CORTICAL 2.4*24mm TITANIO </t>
  </si>
  <si>
    <t>T50022426</t>
  </si>
  <si>
    <t>2200009013</t>
  </si>
  <si>
    <t xml:space="preserve">TORNILLO CORTICAL 2.4*26mm TITANIO </t>
  </si>
  <si>
    <t>T50022428</t>
  </si>
  <si>
    <t>2200008318</t>
  </si>
  <si>
    <t xml:space="preserve">TORNILLO CORTICAL 2.4*28mm TITANIO </t>
  </si>
  <si>
    <t>T50022430</t>
  </si>
  <si>
    <t>2200028230</t>
  </si>
  <si>
    <t xml:space="preserve">TORNILLO CORTICAL 2.4*30mm TITANIO </t>
  </si>
  <si>
    <t>T50022712</t>
  </si>
  <si>
    <t xml:space="preserve">TORNILLO CORTICAL 2.7*12mm TITANIO  </t>
  </si>
  <si>
    <t>T50022714</t>
  </si>
  <si>
    <t>2200111515</t>
  </si>
  <si>
    <t xml:space="preserve">TORNILLO CORTICAL 2.7*14mm TITANIO  </t>
  </si>
  <si>
    <t>T50022718</t>
  </si>
  <si>
    <t>2200112005</t>
  </si>
  <si>
    <t xml:space="preserve">TORNILLO CORTICAL 2.7*18mm TITANIO </t>
  </si>
  <si>
    <t>T50022720</t>
  </si>
  <si>
    <t>2200081171</t>
  </si>
  <si>
    <t xml:space="preserve">TORNILLO CORTICAL 2.7*20mm TITANIO </t>
  </si>
  <si>
    <t>T50022722</t>
  </si>
  <si>
    <t>2200064810</t>
  </si>
  <si>
    <t xml:space="preserve">TORNILLO CORTICAL 2.7*22mm TITANIO </t>
  </si>
  <si>
    <t>T50022724</t>
  </si>
  <si>
    <t>2200040563</t>
  </si>
  <si>
    <t xml:space="preserve">TORNILLO CORTICAL 2.7*24mm TITANIO </t>
  </si>
  <si>
    <t>T50022726</t>
  </si>
  <si>
    <t>2200025060</t>
  </si>
  <si>
    <t xml:space="preserve">TORNILLO CORTICAL 2.7*26mm TITANIO </t>
  </si>
  <si>
    <t>T50022728</t>
  </si>
  <si>
    <t xml:space="preserve">TORNILLO CORTICAL 2.7*28mm TITANIO </t>
  </si>
  <si>
    <t>031.030</t>
  </si>
  <si>
    <t>D-8/T-171B/4205</t>
  </si>
  <si>
    <t xml:space="preserve">TORNILLO CORTICAL 2.7*30mm TITANIO </t>
  </si>
  <si>
    <t>TI-SF-100V.206</t>
  </si>
  <si>
    <t xml:space="preserve">TORNILLO DE BLOQUEO  2.4*6mm TITANIO </t>
  </si>
  <si>
    <t>TI-SF-100V.208</t>
  </si>
  <si>
    <t xml:space="preserve">TORNILLO DE BLOQUEO  2.4*8mm TITANIO </t>
  </si>
  <si>
    <t>TI-SF-100V.210</t>
  </si>
  <si>
    <t xml:space="preserve">TORNILLO DE BLOQUEO  2.4*10mm TITANIO </t>
  </si>
  <si>
    <t>TI-SF-100V.212</t>
  </si>
  <si>
    <t xml:space="preserve">TORNILLO DE BLOQUEO  2.4*12mm TITANIO </t>
  </si>
  <si>
    <t>TI-SF-100V.214</t>
  </si>
  <si>
    <t xml:space="preserve">TORNILLO DE BLOQUEO  2.4*14mm TITANIO </t>
  </si>
  <si>
    <t>TI-SF-100V.216</t>
  </si>
  <si>
    <t xml:space="preserve">TORNILLO DE BLOQUEO  2.4*16mm TITANIO </t>
  </si>
  <si>
    <t>TI-SF-100V.218</t>
  </si>
  <si>
    <t xml:space="preserve">TORNILLO DE BLOQUEO  2.4*18mm TITANIO </t>
  </si>
  <si>
    <t>TI-SF-100V.220</t>
  </si>
  <si>
    <t xml:space="preserve">TORNILLO DE BLOQUEO  2.4*20mm TITANIO </t>
  </si>
  <si>
    <t>TI-SF-100V.222</t>
  </si>
  <si>
    <t xml:space="preserve">TORNILLO DE BLOQUEO  2.4*22mm TITANIO </t>
  </si>
  <si>
    <t>TI-SF-100V.224</t>
  </si>
  <si>
    <t xml:space="preserve">TORNILLO DE BLOQUEO  2.4*24mm TITANIO </t>
  </si>
  <si>
    <t>TI-SF-100V.226</t>
  </si>
  <si>
    <t xml:space="preserve">TORNILLO DE BLOQUEO  2.4*26mm TITANIO </t>
  </si>
  <si>
    <t xml:space="preserve">TORNILLO DE BLOQUEO 2.7*8mm TITANIO </t>
  </si>
  <si>
    <t>50102110</t>
  </si>
  <si>
    <t xml:space="preserve">TORNILLO DE BLOQUEO 2.7*10mm TITANIO </t>
  </si>
  <si>
    <t>50102112</t>
  </si>
  <si>
    <t xml:space="preserve">TORNILLO DE BLOQUEO 2.7*12mm TITANIO </t>
  </si>
  <si>
    <t>50102114</t>
  </si>
  <si>
    <t xml:space="preserve">TORNILLO DE BLOQUEO 2.7*14mm TITANIO </t>
  </si>
  <si>
    <t>50102116</t>
  </si>
  <si>
    <t>2100026255</t>
  </si>
  <si>
    <t xml:space="preserve">TORNILLO DE BLOQUEO 2.7*16mm TITANIO </t>
  </si>
  <si>
    <t>50102118</t>
  </si>
  <si>
    <t xml:space="preserve">TORNILLO DE BLOQUEO 2.7*18mm TITANIO </t>
  </si>
  <si>
    <t>50102120</t>
  </si>
  <si>
    <t xml:space="preserve">TORNILLO DE BLOQUEO 2.7*20mm TITANIO </t>
  </si>
  <si>
    <t>50102122</t>
  </si>
  <si>
    <t>2100046556</t>
  </si>
  <si>
    <t xml:space="preserve">TORNILLO DE BLOQUEO 2.7*22mm TITANIO </t>
  </si>
  <si>
    <t>50102124</t>
  </si>
  <si>
    <t>2000115332</t>
  </si>
  <si>
    <t xml:space="preserve">TORNILLO DE BLOQUEO 2.7*24mm TITANIO </t>
  </si>
  <si>
    <t>50102126</t>
  </si>
  <si>
    <t xml:space="preserve">TORNILLO DE BLOQUEO 2.7*26mm TITANIO </t>
  </si>
  <si>
    <t>50102128</t>
  </si>
  <si>
    <t>2200040568</t>
  </si>
  <si>
    <t xml:space="preserve">TORNILLO DE BLOQUEO 2.7*28mm TITANIO </t>
  </si>
  <si>
    <t>Tc50102730</t>
  </si>
  <si>
    <t>2200076216</t>
  </si>
  <si>
    <t xml:space="preserve">TORNILLO DE BLOQUEO 2.7*30mm TITANIO </t>
  </si>
  <si>
    <t>Tc50102736</t>
  </si>
  <si>
    <t>2100026468</t>
  </si>
  <si>
    <t xml:space="preserve">TORNILLO DE BLOQUEO 2.7*36mm TITANIO </t>
  </si>
  <si>
    <t>Tc50102740</t>
  </si>
  <si>
    <t>2200153510</t>
  </si>
  <si>
    <t xml:space="preserve">TORNILLO DE BLOQUEO 2.7*40mm TITANIO </t>
  </si>
  <si>
    <t>Tc50102745</t>
  </si>
  <si>
    <t>2100021684</t>
  </si>
  <si>
    <t xml:space="preserve">TORNILLO DE BLOQUEO 2.7*45mm TITANIO </t>
  </si>
  <si>
    <t>Tc50102750</t>
  </si>
  <si>
    <t>2200070551</t>
  </si>
  <si>
    <t xml:space="preserve">TORNILLO DE BLOQUEO 2.7*50mm TITANIO </t>
  </si>
  <si>
    <t>Tc50102755</t>
  </si>
  <si>
    <t>2200138042</t>
  </si>
  <si>
    <t xml:space="preserve">TORNILLO DE BLOQUEO 2.7*55mm TITANIO </t>
  </si>
  <si>
    <t>Tc50102760</t>
  </si>
  <si>
    <t>2200154979</t>
  </si>
  <si>
    <t xml:space="preserve">TORNILLO DE BLOQUEO 2.7*60mm TITANIO </t>
  </si>
  <si>
    <t>MINIPLACA BLOQ. MANO&amp;PIE EN T 2.4mm *8 ORF.TIT.</t>
  </si>
  <si>
    <t>MINIPLACA BLOQ. MANO&amp;PIE RECTA 2.4mm *10 ORF.TIT.</t>
  </si>
  <si>
    <t>1582</t>
  </si>
  <si>
    <t>MINIPLACA BLOQ. MANO&amp;PIE RECTA 2.4mm *12 ORF.TIT.</t>
  </si>
  <si>
    <t>1626</t>
  </si>
  <si>
    <t>MINIPLACA BLOQ. MANO&amp;PIE RECTA  2.7mm *10 ORF.TIT.</t>
  </si>
  <si>
    <t>T50022706</t>
  </si>
  <si>
    <t xml:space="preserve">TORNILLO CORTICAL 2.7*6mm TITANIO </t>
  </si>
  <si>
    <t>T50022708</t>
  </si>
  <si>
    <t xml:space="preserve">TORNILLO CORTICAL 2.7*8mm TITANIO </t>
  </si>
  <si>
    <t>T50022710</t>
  </si>
  <si>
    <t xml:space="preserve">TORNILLO CORTICAL 2.7*10mm TITANIO </t>
  </si>
  <si>
    <t xml:space="preserve">TORNILLO CORTICAL 2.7*12mm TITANIO </t>
  </si>
  <si>
    <t>T50022716</t>
  </si>
  <si>
    <t>2200080204</t>
  </si>
  <si>
    <t xml:space="preserve">TORNILLO CORTICAL 2.7*16mm TITANIO </t>
  </si>
  <si>
    <t>2200044159</t>
  </si>
  <si>
    <t>T50022730</t>
  </si>
  <si>
    <t>T50022736</t>
  </si>
  <si>
    <t xml:space="preserve">TORNILLO CORTICAL 2.7*36mm TITANIO </t>
  </si>
  <si>
    <t>T50022740</t>
  </si>
  <si>
    <t xml:space="preserve">TORNILLO CORTICAL 2.7*40mm TITANIO </t>
  </si>
  <si>
    <t>TC50102706</t>
  </si>
  <si>
    <t xml:space="preserve">TORNILLO DE BLOQUEO 2.7*6mm TITANIO </t>
  </si>
  <si>
    <t>TC50102708</t>
  </si>
  <si>
    <t>TC50102710</t>
  </si>
  <si>
    <t>TC50102712</t>
  </si>
  <si>
    <t>TC50102714</t>
  </si>
  <si>
    <t>TC50102716</t>
  </si>
  <si>
    <t>TC50102718</t>
  </si>
  <si>
    <t>TC50102720</t>
  </si>
  <si>
    <t>TC50102722</t>
  </si>
  <si>
    <t>TC50102724</t>
  </si>
  <si>
    <t>TC50102726</t>
  </si>
  <si>
    <t>TC50102728</t>
  </si>
  <si>
    <t>2200070550</t>
  </si>
  <si>
    <t>TC50102730</t>
  </si>
  <si>
    <t>TC50102736</t>
  </si>
  <si>
    <t>2200018450</t>
  </si>
  <si>
    <t>TC50102740</t>
  </si>
  <si>
    <t>2200069901</t>
  </si>
  <si>
    <t>TC50102746</t>
  </si>
  <si>
    <t>TC50102750</t>
  </si>
  <si>
    <t>2100045839</t>
  </si>
  <si>
    <t>INSTRUMENTAL MINIFRAGMENTOS 2.4/2.7</t>
  </si>
  <si>
    <t>SEPARADORES SENMMILER</t>
  </si>
  <si>
    <t>DESPERIO FINO CURVO</t>
  </si>
  <si>
    <t>DESPERIO FINO REDONDO</t>
  </si>
  <si>
    <t>GANCHO DOBLE</t>
  </si>
  <si>
    <t>GANCHOS SIMPLES</t>
  </si>
  <si>
    <t>PINZA REDUCTORA CANGREJO MEDIANA ARANDELA</t>
  </si>
  <si>
    <t>PINZA REDUCTORA EN PUNTA PEQUEÑA CREMALLERA</t>
  </si>
  <si>
    <t>PINZA REDUCTORA EN PUNTA MEDIANA CREMALLERA</t>
  </si>
  <si>
    <t>DISECTOR FREE DOBLE OVALADO</t>
  </si>
  <si>
    <t>PELEVADOR DE PERIOSTIO DOBLE</t>
  </si>
  <si>
    <t>ATORNILLADOR STARDRIVE AZUL</t>
  </si>
  <si>
    <t>GUIA DE BROCA DOBLE 2.0/2.7</t>
  </si>
  <si>
    <t>MACHUELO ANCLAJE RAPIDO</t>
  </si>
  <si>
    <t>ATORNILLADORES ANCLAJE RAPIDO STARDRIVE</t>
  </si>
  <si>
    <t>AVELLANADOR ANCLAJE RAPIDO</t>
  </si>
  <si>
    <t>BROCAS 1.8</t>
  </si>
  <si>
    <t>BROCAS 2.0</t>
  </si>
  <si>
    <t>GUIAS DE BLOQUEO 2.0</t>
  </si>
  <si>
    <t>DOBLADOR DE PLACAS</t>
  </si>
  <si>
    <t>MANGO ANCLAJE RAPIDO</t>
  </si>
  <si>
    <t>MANGO TORQUE 0.8 N.m</t>
  </si>
  <si>
    <t xml:space="preserve">MOTOR MINI AZUL </t>
  </si>
  <si>
    <t xml:space="preserve">LLAVE JACOBS </t>
  </si>
  <si>
    <t xml:space="preserve">BATERIAS GRIS MINI GRIS #1 Y #2 </t>
  </si>
  <si>
    <t>031.032</t>
  </si>
  <si>
    <t xml:space="preserve">TORNILLO CORTICAL 2.7 *32mm  TITANIO </t>
  </si>
  <si>
    <t>031.034</t>
  </si>
  <si>
    <t xml:space="preserve">TORNILLO CORTICAL 2.7 *34mm  TITANIO </t>
  </si>
  <si>
    <t>031.040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</si>
</sst>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_(&quot;$&quot;* #,##0.00_);_(&quot;$&quot;* \(#,##0.00\);_(&quot;$&quot;* &quot;-&quot;??_);_(@_)"/>
    <numFmt numFmtId="166" formatCode="_ &quot;$&quot;* #,##0.00_ ;_ &quot;$&quot;* \-#,##0.00_ ;_ &quot;$&quot;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4"/>
      <color theme="1"/>
      <name val="Arial"/>
      <family val="2"/>
    </font>
    <font>
      <b/>
      <u/>
      <sz val="18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b/>
      <sz val="13"/>
      <color indexed="81"/>
      <name val="Tahoma"/>
      <family val="2"/>
    </font>
    <font>
      <b/>
      <sz val="12"/>
      <color indexed="81"/>
      <name val="Tahoma"/>
      <family val="2"/>
    </font>
    <font>
      <b/>
      <sz val="12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6" fontId="27" fillId="0" borderId="0" applyFont="0" applyFill="0" applyBorder="0" applyAlignment="0" applyProtection="0"/>
  </cellStyleXfs>
  <cellXfs count="101">
    <xf numFmtId="0" fontId="0" fillId="0" borderId="0" xfId="0"/>
    <xf numFmtId="0" fontId="1" fillId="2" borderId="0" xfId="0" applyFont="1" applyFill="1" applyAlignment="1">
      <alignment horizontal="left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4" fillId="0" borderId="0" xfId="1" applyFont="1"/>
    <xf numFmtId="0" fontId="8" fillId="3" borderId="0" xfId="0" applyFont="1" applyFill="1" applyAlignment="1">
      <alignment vertical="center"/>
    </xf>
    <xf numFmtId="164" fontId="9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vertical="center"/>
    </xf>
    <xf numFmtId="0" fontId="8" fillId="3" borderId="0" xfId="0" applyFont="1" applyFill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0" xfId="0" applyFont="1" applyAlignment="1" applyProtection="1">
      <alignment vertical="top"/>
      <protection locked="0"/>
    </xf>
    <xf numFmtId="20" fontId="9" fillId="0" borderId="1" xfId="0" applyNumberFormat="1" applyFont="1" applyBorder="1" applyAlignment="1">
      <alignment vertical="center"/>
    </xf>
    <xf numFmtId="0" fontId="7" fillId="0" borderId="0" xfId="0" applyFont="1" applyAlignment="1" applyProtection="1">
      <alignment vertical="top"/>
      <protection locked="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readingOrder="1"/>
    </xf>
    <xf numFmtId="0" fontId="7" fillId="0" borderId="0" xfId="0" applyFont="1" applyAlignment="1">
      <alignment wrapText="1"/>
    </xf>
    <xf numFmtId="0" fontId="15" fillId="0" borderId="0" xfId="0" applyFont="1"/>
    <xf numFmtId="0" fontId="7" fillId="0" borderId="0" xfId="0" applyFont="1" applyAlignment="1">
      <alignment horizontal="left"/>
    </xf>
    <xf numFmtId="49" fontId="9" fillId="0" borderId="1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4" fillId="0" borderId="6" xfId="1" applyFont="1" applyBorder="1"/>
    <xf numFmtId="0" fontId="4" fillId="0" borderId="7" xfId="1" applyFont="1" applyBorder="1"/>
    <xf numFmtId="0" fontId="9" fillId="2" borderId="1" xfId="0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22" fillId="0" borderId="9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24" fillId="0" borderId="0" xfId="0" applyFont="1"/>
    <xf numFmtId="0" fontId="20" fillId="2" borderId="1" xfId="0" applyFont="1" applyFill="1" applyBorder="1" applyAlignment="1">
      <alignment horizontal="left" vertical="center"/>
    </xf>
    <xf numFmtId="0" fontId="15" fillId="0" borderId="0" xfId="1" applyFont="1" applyAlignment="1">
      <alignment horizontal="left"/>
    </xf>
    <xf numFmtId="0" fontId="15" fillId="0" borderId="0" xfId="1" applyFont="1" applyAlignment="1">
      <alignment wrapText="1"/>
    </xf>
    <xf numFmtId="1" fontId="13" fillId="5" borderId="0" xfId="0" applyNumberFormat="1" applyFont="1" applyFill="1" applyAlignment="1">
      <alignment horizontal="center"/>
    </xf>
    <xf numFmtId="0" fontId="12" fillId="0" borderId="0" xfId="0" applyFont="1" applyAlignment="1">
      <alignment horizontal="center" vertical="top"/>
    </xf>
    <xf numFmtId="0" fontId="25" fillId="0" borderId="1" xfId="0" applyFont="1" applyBorder="1" applyAlignment="1">
      <alignment horizontal="center"/>
    </xf>
    <xf numFmtId="0" fontId="6" fillId="0" borderId="0" xfId="0" applyFont="1"/>
    <xf numFmtId="0" fontId="15" fillId="0" borderId="2" xfId="0" applyFont="1" applyBorder="1"/>
    <xf numFmtId="0" fontId="6" fillId="0" borderId="1" xfId="0" applyFont="1" applyBorder="1"/>
    <xf numFmtId="0" fontId="24" fillId="0" borderId="1" xfId="0" applyFont="1" applyBorder="1"/>
    <xf numFmtId="0" fontId="7" fillId="0" borderId="2" xfId="0" applyFont="1" applyBorder="1" applyAlignment="1">
      <alignment wrapText="1"/>
    </xf>
    <xf numFmtId="0" fontId="16" fillId="0" borderId="0" xfId="0" applyFont="1"/>
    <xf numFmtId="0" fontId="7" fillId="0" borderId="1" xfId="0" applyFont="1" applyBorder="1" applyAlignment="1" applyProtection="1">
      <alignment horizontal="center" wrapText="1" readingOrder="1"/>
      <protection locked="0"/>
    </xf>
    <xf numFmtId="0" fontId="7" fillId="0" borderId="1" xfId="0" applyFont="1" applyBorder="1" applyAlignment="1">
      <alignment horizontal="center" readingOrder="1"/>
    </xf>
    <xf numFmtId="0" fontId="7" fillId="0" borderId="1" xfId="0" applyFont="1" applyBorder="1" applyAlignment="1" applyProtection="1">
      <alignment horizontal="left" readingOrder="1"/>
      <protection locked="0"/>
    </xf>
    <xf numFmtId="0" fontId="13" fillId="0" borderId="1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7" fillId="0" borderId="1" xfId="0" applyFont="1" applyBorder="1" applyAlignment="1" applyProtection="1">
      <alignment horizontal="left" wrapText="1" readingOrder="1"/>
      <protection locked="0"/>
    </xf>
    <xf numFmtId="0" fontId="7" fillId="0" borderId="1" xfId="0" applyFont="1" applyBorder="1" applyAlignment="1">
      <alignment horizontal="left" readingOrder="1"/>
    </xf>
    <xf numFmtId="0" fontId="7" fillId="0" borderId="1" xfId="0" applyFont="1" applyBorder="1" applyAlignment="1" applyProtection="1">
      <alignment wrapText="1" readingOrder="1"/>
      <protection locked="0"/>
    </xf>
    <xf numFmtId="0" fontId="7" fillId="0" borderId="0" xfId="0" applyFont="1" applyAlignment="1" applyProtection="1">
      <alignment horizontal="center" vertical="top" wrapText="1" readingOrder="1"/>
      <protection locked="0"/>
    </xf>
    <xf numFmtId="0" fontId="7" fillId="0" borderId="0" xfId="0" applyFont="1" applyAlignment="1" applyProtection="1">
      <alignment horizontal="left" vertical="top" readingOrder="1"/>
      <protection locked="0"/>
    </xf>
    <xf numFmtId="0" fontId="6" fillId="0" borderId="0" xfId="0" applyFont="1" applyAlignment="1">
      <alignment horizontal="center" readingOrder="1"/>
    </xf>
    <xf numFmtId="0" fontId="14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1" applyNumberFormat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0" fontId="23" fillId="0" borderId="13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</cellXfs>
  <cellStyles count="4">
    <cellStyle name="Moneda 2" xfId="3" xr:uid="{01CAFBF3-502A-4B9B-9FCD-601ACE947618}"/>
    <cellStyle name="Moneda 3 2" xfId="2" xr:uid="{00000000-0005-0000-0000-000000000000}"/>
    <cellStyle name="Normal" xfId="0" builtinId="0"/>
    <cellStyle name="Normal 2" xfId="1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398722</xdr:colOff>
      <xdr:row>1</xdr:row>
      <xdr:rowOff>77320</xdr:rowOff>
    </xdr:from>
    <xdr:ext cx="1444255" cy="699857"/>
    <xdr:pic>
      <xdr:nvPicPr>
        <xdr:cNvPr id="8" name="Imagen 7">
          <a:extLst>
            <a:ext uri="{FF2B5EF4-FFF2-40B4-BE49-F238E27FC236}">
              <a16:creationId xmlns:a16="http://schemas.microsoft.com/office/drawing/2014/main" id="{34F7F124-0E22-447D-B349-429257CC5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9" t="14395" r="13790" b="32822"/>
        <a:stretch/>
      </xdr:blipFill>
      <xdr:spPr>
        <a:xfrm>
          <a:off x="398722" y="325413"/>
          <a:ext cx="1444255" cy="6998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"/>
  <sheetViews>
    <sheetView showGridLines="0" tabSelected="1" view="pageBreakPreview" topLeftCell="A51" zoomScaleNormal="100" zoomScaleSheetLayoutView="100" workbookViewId="0">
      <selection activeCell="C122" sqref="C122"/>
    </sheetView>
  </sheetViews>
  <sheetFormatPr baseColWidth="10" defaultColWidth="11.42578125" defaultRowHeight="20.100000000000001" customHeight="1" x14ac:dyDescent="0.2"/>
  <cols>
    <col min="1" max="1" width="21.28515625" style="6" bestFit="1" customWidth="1"/>
    <col min="2" max="2" width="14.7109375" style="28" customWidth="1"/>
    <col min="3" max="3" width="86.28515625" style="26" customWidth="1"/>
    <col min="4" max="4" width="23.140625" style="26" customWidth="1"/>
    <col min="5" max="5" width="17.7109375" style="26" customWidth="1"/>
    <col min="6" max="11" width="11.42578125" style="6"/>
    <col min="12" max="12" width="14.42578125" style="6" bestFit="1" customWidth="1"/>
    <col min="13" max="13" width="50.140625" style="6" bestFit="1" customWidth="1"/>
    <col min="14" max="258" width="11.42578125" style="6"/>
    <col min="259" max="259" width="13.140625" style="6" customWidth="1"/>
    <col min="260" max="260" width="15.140625" style="6" customWidth="1"/>
    <col min="261" max="261" width="42" style="6" customWidth="1"/>
    <col min="262" max="262" width="11.42578125" style="6"/>
    <col min="263" max="263" width="13.140625" style="6" customWidth="1"/>
    <col min="264" max="514" width="11.42578125" style="6"/>
    <col min="515" max="515" width="13.140625" style="6" customWidth="1"/>
    <col min="516" max="516" width="15.140625" style="6" customWidth="1"/>
    <col min="517" max="517" width="42" style="6" customWidth="1"/>
    <col min="518" max="518" width="11.42578125" style="6"/>
    <col min="519" max="519" width="13.140625" style="6" customWidth="1"/>
    <col min="520" max="770" width="11.42578125" style="6"/>
    <col min="771" max="771" width="13.140625" style="6" customWidth="1"/>
    <col min="772" max="772" width="15.140625" style="6" customWidth="1"/>
    <col min="773" max="773" width="42" style="6" customWidth="1"/>
    <col min="774" max="774" width="11.42578125" style="6"/>
    <col min="775" max="775" width="13.140625" style="6" customWidth="1"/>
    <col min="776" max="1026" width="11.42578125" style="6"/>
    <col min="1027" max="1027" width="13.140625" style="6" customWidth="1"/>
    <col min="1028" max="1028" width="15.140625" style="6" customWidth="1"/>
    <col min="1029" max="1029" width="42" style="6" customWidth="1"/>
    <col min="1030" max="1030" width="11.42578125" style="6"/>
    <col min="1031" max="1031" width="13.140625" style="6" customWidth="1"/>
    <col min="1032" max="1282" width="11.42578125" style="6"/>
    <col min="1283" max="1283" width="13.140625" style="6" customWidth="1"/>
    <col min="1284" max="1284" width="15.140625" style="6" customWidth="1"/>
    <col min="1285" max="1285" width="42" style="6" customWidth="1"/>
    <col min="1286" max="1286" width="11.42578125" style="6"/>
    <col min="1287" max="1287" width="13.140625" style="6" customWidth="1"/>
    <col min="1288" max="1538" width="11.42578125" style="6"/>
    <col min="1539" max="1539" width="13.140625" style="6" customWidth="1"/>
    <col min="1540" max="1540" width="15.140625" style="6" customWidth="1"/>
    <col min="1541" max="1541" width="42" style="6" customWidth="1"/>
    <col min="1542" max="1542" width="11.42578125" style="6"/>
    <col min="1543" max="1543" width="13.140625" style="6" customWidth="1"/>
    <col min="1544" max="1794" width="11.42578125" style="6"/>
    <col min="1795" max="1795" width="13.140625" style="6" customWidth="1"/>
    <col min="1796" max="1796" width="15.140625" style="6" customWidth="1"/>
    <col min="1797" max="1797" width="42" style="6" customWidth="1"/>
    <col min="1798" max="1798" width="11.42578125" style="6"/>
    <col min="1799" max="1799" width="13.140625" style="6" customWidth="1"/>
    <col min="1800" max="2050" width="11.42578125" style="6"/>
    <col min="2051" max="2051" width="13.140625" style="6" customWidth="1"/>
    <col min="2052" max="2052" width="15.140625" style="6" customWidth="1"/>
    <col min="2053" max="2053" width="42" style="6" customWidth="1"/>
    <col min="2054" max="2054" width="11.42578125" style="6"/>
    <col min="2055" max="2055" width="13.140625" style="6" customWidth="1"/>
    <col min="2056" max="2306" width="11.42578125" style="6"/>
    <col min="2307" max="2307" width="13.140625" style="6" customWidth="1"/>
    <col min="2308" max="2308" width="15.140625" style="6" customWidth="1"/>
    <col min="2309" max="2309" width="42" style="6" customWidth="1"/>
    <col min="2310" max="2310" width="11.42578125" style="6"/>
    <col min="2311" max="2311" width="13.140625" style="6" customWidth="1"/>
    <col min="2312" max="2562" width="11.42578125" style="6"/>
    <col min="2563" max="2563" width="13.140625" style="6" customWidth="1"/>
    <col min="2564" max="2564" width="15.140625" style="6" customWidth="1"/>
    <col min="2565" max="2565" width="42" style="6" customWidth="1"/>
    <col min="2566" max="2566" width="11.42578125" style="6"/>
    <col min="2567" max="2567" width="13.140625" style="6" customWidth="1"/>
    <col min="2568" max="2818" width="11.42578125" style="6"/>
    <col min="2819" max="2819" width="13.140625" style="6" customWidth="1"/>
    <col min="2820" max="2820" width="15.140625" style="6" customWidth="1"/>
    <col min="2821" max="2821" width="42" style="6" customWidth="1"/>
    <col min="2822" max="2822" width="11.42578125" style="6"/>
    <col min="2823" max="2823" width="13.140625" style="6" customWidth="1"/>
    <col min="2824" max="3074" width="11.42578125" style="6"/>
    <col min="3075" max="3075" width="13.140625" style="6" customWidth="1"/>
    <col min="3076" max="3076" width="15.140625" style="6" customWidth="1"/>
    <col min="3077" max="3077" width="42" style="6" customWidth="1"/>
    <col min="3078" max="3078" width="11.42578125" style="6"/>
    <col min="3079" max="3079" width="13.140625" style="6" customWidth="1"/>
    <col min="3080" max="3330" width="11.42578125" style="6"/>
    <col min="3331" max="3331" width="13.140625" style="6" customWidth="1"/>
    <col min="3332" max="3332" width="15.140625" style="6" customWidth="1"/>
    <col min="3333" max="3333" width="42" style="6" customWidth="1"/>
    <col min="3334" max="3334" width="11.42578125" style="6"/>
    <col min="3335" max="3335" width="13.140625" style="6" customWidth="1"/>
    <col min="3336" max="3586" width="11.42578125" style="6"/>
    <col min="3587" max="3587" width="13.140625" style="6" customWidth="1"/>
    <col min="3588" max="3588" width="15.140625" style="6" customWidth="1"/>
    <col min="3589" max="3589" width="42" style="6" customWidth="1"/>
    <col min="3590" max="3590" width="11.42578125" style="6"/>
    <col min="3591" max="3591" width="13.140625" style="6" customWidth="1"/>
    <col min="3592" max="3842" width="11.42578125" style="6"/>
    <col min="3843" max="3843" width="13.140625" style="6" customWidth="1"/>
    <col min="3844" max="3844" width="15.140625" style="6" customWidth="1"/>
    <col min="3845" max="3845" width="42" style="6" customWidth="1"/>
    <col min="3846" max="3846" width="11.42578125" style="6"/>
    <col min="3847" max="3847" width="13.140625" style="6" customWidth="1"/>
    <col min="3848" max="4098" width="11.42578125" style="6"/>
    <col min="4099" max="4099" width="13.140625" style="6" customWidth="1"/>
    <col min="4100" max="4100" width="15.140625" style="6" customWidth="1"/>
    <col min="4101" max="4101" width="42" style="6" customWidth="1"/>
    <col min="4102" max="4102" width="11.42578125" style="6"/>
    <col min="4103" max="4103" width="13.140625" style="6" customWidth="1"/>
    <col min="4104" max="4354" width="11.42578125" style="6"/>
    <col min="4355" max="4355" width="13.140625" style="6" customWidth="1"/>
    <col min="4356" max="4356" width="15.140625" style="6" customWidth="1"/>
    <col min="4357" max="4357" width="42" style="6" customWidth="1"/>
    <col min="4358" max="4358" width="11.42578125" style="6"/>
    <col min="4359" max="4359" width="13.140625" style="6" customWidth="1"/>
    <col min="4360" max="4610" width="11.42578125" style="6"/>
    <col min="4611" max="4611" width="13.140625" style="6" customWidth="1"/>
    <col min="4612" max="4612" width="15.140625" style="6" customWidth="1"/>
    <col min="4613" max="4613" width="42" style="6" customWidth="1"/>
    <col min="4614" max="4614" width="11.42578125" style="6"/>
    <col min="4615" max="4615" width="13.140625" style="6" customWidth="1"/>
    <col min="4616" max="4866" width="11.42578125" style="6"/>
    <col min="4867" max="4867" width="13.140625" style="6" customWidth="1"/>
    <col min="4868" max="4868" width="15.140625" style="6" customWidth="1"/>
    <col min="4869" max="4869" width="42" style="6" customWidth="1"/>
    <col min="4870" max="4870" width="11.42578125" style="6"/>
    <col min="4871" max="4871" width="13.140625" style="6" customWidth="1"/>
    <col min="4872" max="5122" width="11.42578125" style="6"/>
    <col min="5123" max="5123" width="13.140625" style="6" customWidth="1"/>
    <col min="5124" max="5124" width="15.140625" style="6" customWidth="1"/>
    <col min="5125" max="5125" width="42" style="6" customWidth="1"/>
    <col min="5126" max="5126" width="11.42578125" style="6"/>
    <col min="5127" max="5127" width="13.140625" style="6" customWidth="1"/>
    <col min="5128" max="5378" width="11.42578125" style="6"/>
    <col min="5379" max="5379" width="13.140625" style="6" customWidth="1"/>
    <col min="5380" max="5380" width="15.140625" style="6" customWidth="1"/>
    <col min="5381" max="5381" width="42" style="6" customWidth="1"/>
    <col min="5382" max="5382" width="11.42578125" style="6"/>
    <col min="5383" max="5383" width="13.140625" style="6" customWidth="1"/>
    <col min="5384" max="5634" width="11.42578125" style="6"/>
    <col min="5635" max="5635" width="13.140625" style="6" customWidth="1"/>
    <col min="5636" max="5636" width="15.140625" style="6" customWidth="1"/>
    <col min="5637" max="5637" width="42" style="6" customWidth="1"/>
    <col min="5638" max="5638" width="11.42578125" style="6"/>
    <col min="5639" max="5639" width="13.140625" style="6" customWidth="1"/>
    <col min="5640" max="5890" width="11.42578125" style="6"/>
    <col min="5891" max="5891" width="13.140625" style="6" customWidth="1"/>
    <col min="5892" max="5892" width="15.140625" style="6" customWidth="1"/>
    <col min="5893" max="5893" width="42" style="6" customWidth="1"/>
    <col min="5894" max="5894" width="11.42578125" style="6"/>
    <col min="5895" max="5895" width="13.140625" style="6" customWidth="1"/>
    <col min="5896" max="6146" width="11.42578125" style="6"/>
    <col min="6147" max="6147" width="13.140625" style="6" customWidth="1"/>
    <col min="6148" max="6148" width="15.140625" style="6" customWidth="1"/>
    <col min="6149" max="6149" width="42" style="6" customWidth="1"/>
    <col min="6150" max="6150" width="11.42578125" style="6"/>
    <col min="6151" max="6151" width="13.140625" style="6" customWidth="1"/>
    <col min="6152" max="6402" width="11.42578125" style="6"/>
    <col min="6403" max="6403" width="13.140625" style="6" customWidth="1"/>
    <col min="6404" max="6404" width="15.140625" style="6" customWidth="1"/>
    <col min="6405" max="6405" width="42" style="6" customWidth="1"/>
    <col min="6406" max="6406" width="11.42578125" style="6"/>
    <col min="6407" max="6407" width="13.140625" style="6" customWidth="1"/>
    <col min="6408" max="6658" width="11.42578125" style="6"/>
    <col min="6659" max="6659" width="13.140625" style="6" customWidth="1"/>
    <col min="6660" max="6660" width="15.140625" style="6" customWidth="1"/>
    <col min="6661" max="6661" width="42" style="6" customWidth="1"/>
    <col min="6662" max="6662" width="11.42578125" style="6"/>
    <col min="6663" max="6663" width="13.140625" style="6" customWidth="1"/>
    <col min="6664" max="6914" width="11.42578125" style="6"/>
    <col min="6915" max="6915" width="13.140625" style="6" customWidth="1"/>
    <col min="6916" max="6916" width="15.140625" style="6" customWidth="1"/>
    <col min="6917" max="6917" width="42" style="6" customWidth="1"/>
    <col min="6918" max="6918" width="11.42578125" style="6"/>
    <col min="6919" max="6919" width="13.140625" style="6" customWidth="1"/>
    <col min="6920" max="7170" width="11.42578125" style="6"/>
    <col min="7171" max="7171" width="13.140625" style="6" customWidth="1"/>
    <col min="7172" max="7172" width="15.140625" style="6" customWidth="1"/>
    <col min="7173" max="7173" width="42" style="6" customWidth="1"/>
    <col min="7174" max="7174" width="11.42578125" style="6"/>
    <col min="7175" max="7175" width="13.140625" style="6" customWidth="1"/>
    <col min="7176" max="7426" width="11.42578125" style="6"/>
    <col min="7427" max="7427" width="13.140625" style="6" customWidth="1"/>
    <col min="7428" max="7428" width="15.140625" style="6" customWidth="1"/>
    <col min="7429" max="7429" width="42" style="6" customWidth="1"/>
    <col min="7430" max="7430" width="11.42578125" style="6"/>
    <col min="7431" max="7431" width="13.140625" style="6" customWidth="1"/>
    <col min="7432" max="7682" width="11.42578125" style="6"/>
    <col min="7683" max="7683" width="13.140625" style="6" customWidth="1"/>
    <col min="7684" max="7684" width="15.140625" style="6" customWidth="1"/>
    <col min="7685" max="7685" width="42" style="6" customWidth="1"/>
    <col min="7686" max="7686" width="11.42578125" style="6"/>
    <col min="7687" max="7687" width="13.140625" style="6" customWidth="1"/>
    <col min="7688" max="7938" width="11.42578125" style="6"/>
    <col min="7939" max="7939" width="13.140625" style="6" customWidth="1"/>
    <col min="7940" max="7940" width="15.140625" style="6" customWidth="1"/>
    <col min="7941" max="7941" width="42" style="6" customWidth="1"/>
    <col min="7942" max="7942" width="11.42578125" style="6"/>
    <col min="7943" max="7943" width="13.140625" style="6" customWidth="1"/>
    <col min="7944" max="8194" width="11.42578125" style="6"/>
    <col min="8195" max="8195" width="13.140625" style="6" customWidth="1"/>
    <col min="8196" max="8196" width="15.140625" style="6" customWidth="1"/>
    <col min="8197" max="8197" width="42" style="6" customWidth="1"/>
    <col min="8198" max="8198" width="11.42578125" style="6"/>
    <col min="8199" max="8199" width="13.140625" style="6" customWidth="1"/>
    <col min="8200" max="8450" width="11.42578125" style="6"/>
    <col min="8451" max="8451" width="13.140625" style="6" customWidth="1"/>
    <col min="8452" max="8452" width="15.140625" style="6" customWidth="1"/>
    <col min="8453" max="8453" width="42" style="6" customWidth="1"/>
    <col min="8454" max="8454" width="11.42578125" style="6"/>
    <col min="8455" max="8455" width="13.140625" style="6" customWidth="1"/>
    <col min="8456" max="8706" width="11.42578125" style="6"/>
    <col min="8707" max="8707" width="13.140625" style="6" customWidth="1"/>
    <col min="8708" max="8708" width="15.140625" style="6" customWidth="1"/>
    <col min="8709" max="8709" width="42" style="6" customWidth="1"/>
    <col min="8710" max="8710" width="11.42578125" style="6"/>
    <col min="8711" max="8711" width="13.140625" style="6" customWidth="1"/>
    <col min="8712" max="8962" width="11.42578125" style="6"/>
    <col min="8963" max="8963" width="13.140625" style="6" customWidth="1"/>
    <col min="8964" max="8964" width="15.140625" style="6" customWidth="1"/>
    <col min="8965" max="8965" width="42" style="6" customWidth="1"/>
    <col min="8966" max="8966" width="11.42578125" style="6"/>
    <col min="8967" max="8967" width="13.140625" style="6" customWidth="1"/>
    <col min="8968" max="9218" width="11.42578125" style="6"/>
    <col min="9219" max="9219" width="13.140625" style="6" customWidth="1"/>
    <col min="9220" max="9220" width="15.140625" style="6" customWidth="1"/>
    <col min="9221" max="9221" width="42" style="6" customWidth="1"/>
    <col min="9222" max="9222" width="11.42578125" style="6"/>
    <col min="9223" max="9223" width="13.140625" style="6" customWidth="1"/>
    <col min="9224" max="9474" width="11.42578125" style="6"/>
    <col min="9475" max="9475" width="13.140625" style="6" customWidth="1"/>
    <col min="9476" max="9476" width="15.140625" style="6" customWidth="1"/>
    <col min="9477" max="9477" width="42" style="6" customWidth="1"/>
    <col min="9478" max="9478" width="11.42578125" style="6"/>
    <col min="9479" max="9479" width="13.140625" style="6" customWidth="1"/>
    <col min="9480" max="9730" width="11.42578125" style="6"/>
    <col min="9731" max="9731" width="13.140625" style="6" customWidth="1"/>
    <col min="9732" max="9732" width="15.140625" style="6" customWidth="1"/>
    <col min="9733" max="9733" width="42" style="6" customWidth="1"/>
    <col min="9734" max="9734" width="11.42578125" style="6"/>
    <col min="9735" max="9735" width="13.140625" style="6" customWidth="1"/>
    <col min="9736" max="9986" width="11.42578125" style="6"/>
    <col min="9987" max="9987" width="13.140625" style="6" customWidth="1"/>
    <col min="9988" max="9988" width="15.140625" style="6" customWidth="1"/>
    <col min="9989" max="9989" width="42" style="6" customWidth="1"/>
    <col min="9990" max="9990" width="11.42578125" style="6"/>
    <col min="9991" max="9991" width="13.140625" style="6" customWidth="1"/>
    <col min="9992" max="10242" width="11.42578125" style="6"/>
    <col min="10243" max="10243" width="13.140625" style="6" customWidth="1"/>
    <col min="10244" max="10244" width="15.140625" style="6" customWidth="1"/>
    <col min="10245" max="10245" width="42" style="6" customWidth="1"/>
    <col min="10246" max="10246" width="11.42578125" style="6"/>
    <col min="10247" max="10247" width="13.140625" style="6" customWidth="1"/>
    <col min="10248" max="10498" width="11.42578125" style="6"/>
    <col min="10499" max="10499" width="13.140625" style="6" customWidth="1"/>
    <col min="10500" max="10500" width="15.140625" style="6" customWidth="1"/>
    <col min="10501" max="10501" width="42" style="6" customWidth="1"/>
    <col min="10502" max="10502" width="11.42578125" style="6"/>
    <col min="10503" max="10503" width="13.140625" style="6" customWidth="1"/>
    <col min="10504" max="10754" width="11.42578125" style="6"/>
    <col min="10755" max="10755" width="13.140625" style="6" customWidth="1"/>
    <col min="10756" max="10756" width="15.140625" style="6" customWidth="1"/>
    <col min="10757" max="10757" width="42" style="6" customWidth="1"/>
    <col min="10758" max="10758" width="11.42578125" style="6"/>
    <col min="10759" max="10759" width="13.140625" style="6" customWidth="1"/>
    <col min="10760" max="11010" width="11.42578125" style="6"/>
    <col min="11011" max="11011" width="13.140625" style="6" customWidth="1"/>
    <col min="11012" max="11012" width="15.140625" style="6" customWidth="1"/>
    <col min="11013" max="11013" width="42" style="6" customWidth="1"/>
    <col min="11014" max="11014" width="11.42578125" style="6"/>
    <col min="11015" max="11015" width="13.140625" style="6" customWidth="1"/>
    <col min="11016" max="11266" width="11.42578125" style="6"/>
    <col min="11267" max="11267" width="13.140625" style="6" customWidth="1"/>
    <col min="11268" max="11268" width="15.140625" style="6" customWidth="1"/>
    <col min="11269" max="11269" width="42" style="6" customWidth="1"/>
    <col min="11270" max="11270" width="11.42578125" style="6"/>
    <col min="11271" max="11271" width="13.140625" style="6" customWidth="1"/>
    <col min="11272" max="11522" width="11.42578125" style="6"/>
    <col min="11523" max="11523" width="13.140625" style="6" customWidth="1"/>
    <col min="11524" max="11524" width="15.140625" style="6" customWidth="1"/>
    <col min="11525" max="11525" width="42" style="6" customWidth="1"/>
    <col min="11526" max="11526" width="11.42578125" style="6"/>
    <col min="11527" max="11527" width="13.140625" style="6" customWidth="1"/>
    <col min="11528" max="11778" width="11.42578125" style="6"/>
    <col min="11779" max="11779" width="13.140625" style="6" customWidth="1"/>
    <col min="11780" max="11780" width="15.140625" style="6" customWidth="1"/>
    <col min="11781" max="11781" width="42" style="6" customWidth="1"/>
    <col min="11782" max="11782" width="11.42578125" style="6"/>
    <col min="11783" max="11783" width="13.140625" style="6" customWidth="1"/>
    <col min="11784" max="12034" width="11.42578125" style="6"/>
    <col min="12035" max="12035" width="13.140625" style="6" customWidth="1"/>
    <col min="12036" max="12036" width="15.140625" style="6" customWidth="1"/>
    <col min="12037" max="12037" width="42" style="6" customWidth="1"/>
    <col min="12038" max="12038" width="11.42578125" style="6"/>
    <col min="12039" max="12039" width="13.140625" style="6" customWidth="1"/>
    <col min="12040" max="12290" width="11.42578125" style="6"/>
    <col min="12291" max="12291" width="13.140625" style="6" customWidth="1"/>
    <col min="12292" max="12292" width="15.140625" style="6" customWidth="1"/>
    <col min="12293" max="12293" width="42" style="6" customWidth="1"/>
    <col min="12294" max="12294" width="11.42578125" style="6"/>
    <col min="12295" max="12295" width="13.140625" style="6" customWidth="1"/>
    <col min="12296" max="12546" width="11.42578125" style="6"/>
    <col min="12547" max="12547" width="13.140625" style="6" customWidth="1"/>
    <col min="12548" max="12548" width="15.140625" style="6" customWidth="1"/>
    <col min="12549" max="12549" width="42" style="6" customWidth="1"/>
    <col min="12550" max="12550" width="11.42578125" style="6"/>
    <col min="12551" max="12551" width="13.140625" style="6" customWidth="1"/>
    <col min="12552" max="12802" width="11.42578125" style="6"/>
    <col min="12803" max="12803" width="13.140625" style="6" customWidth="1"/>
    <col min="12804" max="12804" width="15.140625" style="6" customWidth="1"/>
    <col min="12805" max="12805" width="42" style="6" customWidth="1"/>
    <col min="12806" max="12806" width="11.42578125" style="6"/>
    <col min="12807" max="12807" width="13.140625" style="6" customWidth="1"/>
    <col min="12808" max="13058" width="11.42578125" style="6"/>
    <col min="13059" max="13059" width="13.140625" style="6" customWidth="1"/>
    <col min="13060" max="13060" width="15.140625" style="6" customWidth="1"/>
    <col min="13061" max="13061" width="42" style="6" customWidth="1"/>
    <col min="13062" max="13062" width="11.42578125" style="6"/>
    <col min="13063" max="13063" width="13.140625" style="6" customWidth="1"/>
    <col min="13064" max="13314" width="11.42578125" style="6"/>
    <col min="13315" max="13315" width="13.140625" style="6" customWidth="1"/>
    <col min="13316" max="13316" width="15.140625" style="6" customWidth="1"/>
    <col min="13317" max="13317" width="42" style="6" customWidth="1"/>
    <col min="13318" max="13318" width="11.42578125" style="6"/>
    <col min="13319" max="13319" width="13.140625" style="6" customWidth="1"/>
    <col min="13320" max="13570" width="11.42578125" style="6"/>
    <col min="13571" max="13571" width="13.140625" style="6" customWidth="1"/>
    <col min="13572" max="13572" width="15.140625" style="6" customWidth="1"/>
    <col min="13573" max="13573" width="42" style="6" customWidth="1"/>
    <col min="13574" max="13574" width="11.42578125" style="6"/>
    <col min="13575" max="13575" width="13.140625" style="6" customWidth="1"/>
    <col min="13576" max="13826" width="11.42578125" style="6"/>
    <col min="13827" max="13827" width="13.140625" style="6" customWidth="1"/>
    <col min="13828" max="13828" width="15.140625" style="6" customWidth="1"/>
    <col min="13829" max="13829" width="42" style="6" customWidth="1"/>
    <col min="13830" max="13830" width="11.42578125" style="6"/>
    <col min="13831" max="13831" width="13.140625" style="6" customWidth="1"/>
    <col min="13832" max="14082" width="11.42578125" style="6"/>
    <col min="14083" max="14083" width="13.140625" style="6" customWidth="1"/>
    <col min="14084" max="14084" width="15.140625" style="6" customWidth="1"/>
    <col min="14085" max="14085" width="42" style="6" customWidth="1"/>
    <col min="14086" max="14086" width="11.42578125" style="6"/>
    <col min="14087" max="14087" width="13.140625" style="6" customWidth="1"/>
    <col min="14088" max="14338" width="11.42578125" style="6"/>
    <col min="14339" max="14339" width="13.140625" style="6" customWidth="1"/>
    <col min="14340" max="14340" width="15.140625" style="6" customWidth="1"/>
    <col min="14341" max="14341" width="42" style="6" customWidth="1"/>
    <col min="14342" max="14342" width="11.42578125" style="6"/>
    <col min="14343" max="14343" width="13.140625" style="6" customWidth="1"/>
    <col min="14344" max="14594" width="11.42578125" style="6"/>
    <col min="14595" max="14595" width="13.140625" style="6" customWidth="1"/>
    <col min="14596" max="14596" width="15.140625" style="6" customWidth="1"/>
    <col min="14597" max="14597" width="42" style="6" customWidth="1"/>
    <col min="14598" max="14598" width="11.42578125" style="6"/>
    <col min="14599" max="14599" width="13.140625" style="6" customWidth="1"/>
    <col min="14600" max="14850" width="11.42578125" style="6"/>
    <col min="14851" max="14851" width="13.140625" style="6" customWidth="1"/>
    <col min="14852" max="14852" width="15.140625" style="6" customWidth="1"/>
    <col min="14853" max="14853" width="42" style="6" customWidth="1"/>
    <col min="14854" max="14854" width="11.42578125" style="6"/>
    <col min="14855" max="14855" width="13.140625" style="6" customWidth="1"/>
    <col min="14856" max="15106" width="11.42578125" style="6"/>
    <col min="15107" max="15107" width="13.140625" style="6" customWidth="1"/>
    <col min="15108" max="15108" width="15.140625" style="6" customWidth="1"/>
    <col min="15109" max="15109" width="42" style="6" customWidth="1"/>
    <col min="15110" max="15110" width="11.42578125" style="6"/>
    <col min="15111" max="15111" width="13.140625" style="6" customWidth="1"/>
    <col min="15112" max="15362" width="11.42578125" style="6"/>
    <col min="15363" max="15363" width="13.140625" style="6" customWidth="1"/>
    <col min="15364" max="15364" width="15.140625" style="6" customWidth="1"/>
    <col min="15365" max="15365" width="42" style="6" customWidth="1"/>
    <col min="15366" max="15366" width="11.42578125" style="6"/>
    <col min="15367" max="15367" width="13.140625" style="6" customWidth="1"/>
    <col min="15368" max="15618" width="11.42578125" style="6"/>
    <col min="15619" max="15619" width="13.140625" style="6" customWidth="1"/>
    <col min="15620" max="15620" width="15.140625" style="6" customWidth="1"/>
    <col min="15621" max="15621" width="42" style="6" customWidth="1"/>
    <col min="15622" max="15622" width="11.42578125" style="6"/>
    <col min="15623" max="15623" width="13.140625" style="6" customWidth="1"/>
    <col min="15624" max="15874" width="11.42578125" style="6"/>
    <col min="15875" max="15875" width="13.140625" style="6" customWidth="1"/>
    <col min="15876" max="15876" width="15.140625" style="6" customWidth="1"/>
    <col min="15877" max="15877" width="42" style="6" customWidth="1"/>
    <col min="15878" max="15878" width="11.42578125" style="6"/>
    <col min="15879" max="15879" width="13.140625" style="6" customWidth="1"/>
    <col min="15880" max="16130" width="11.42578125" style="6"/>
    <col min="16131" max="16131" width="13.140625" style="6" customWidth="1"/>
    <col min="16132" max="16132" width="15.140625" style="6" customWidth="1"/>
    <col min="16133" max="16133" width="42" style="6" customWidth="1"/>
    <col min="16134" max="16134" width="11.42578125" style="6"/>
    <col min="16135" max="16135" width="13.140625" style="6" customWidth="1"/>
    <col min="16136" max="16384" width="11.42578125" style="6"/>
  </cols>
  <sheetData>
    <row r="1" spans="1:14" ht="20.100000000000001" customHeight="1" thickBot="1" x14ac:dyDescent="0.25"/>
    <row r="2" spans="1:14" customFormat="1" ht="20.100000000000001" customHeight="1" thickBot="1" x14ac:dyDescent="0.3">
      <c r="A2" s="31"/>
      <c r="B2" s="32"/>
      <c r="C2" s="95" t="s">
        <v>20</v>
      </c>
      <c r="D2" s="91" t="s">
        <v>19</v>
      </c>
      <c r="E2" s="92"/>
      <c r="F2" s="1"/>
      <c r="G2" s="1"/>
      <c r="H2" s="1"/>
      <c r="I2" s="1"/>
      <c r="J2" s="2"/>
      <c r="K2" s="3"/>
    </row>
    <row r="3" spans="1:14" customFormat="1" ht="20.100000000000001" customHeight="1" thickBot="1" x14ac:dyDescent="0.3">
      <c r="A3" s="37"/>
      <c r="B3" s="38"/>
      <c r="C3" s="96"/>
      <c r="D3" s="39" t="s">
        <v>22</v>
      </c>
      <c r="E3" s="40"/>
      <c r="F3" s="1"/>
      <c r="G3" s="1"/>
      <c r="H3" s="1"/>
      <c r="I3" s="1"/>
      <c r="J3" s="2"/>
      <c r="K3" s="3"/>
    </row>
    <row r="4" spans="1:14" customFormat="1" ht="20.100000000000001" customHeight="1" thickBot="1" x14ac:dyDescent="0.3">
      <c r="A4" s="37"/>
      <c r="B4" s="38"/>
      <c r="C4" s="93" t="s">
        <v>21</v>
      </c>
      <c r="D4" s="97" t="s">
        <v>23</v>
      </c>
      <c r="E4" s="98"/>
      <c r="F4" s="1"/>
      <c r="G4" s="1"/>
      <c r="H4" s="1"/>
      <c r="I4" s="1"/>
      <c r="J4" s="2"/>
      <c r="K4" s="3"/>
    </row>
    <row r="5" spans="1:14" customFormat="1" ht="20.100000000000001" customHeight="1" thickBot="1" x14ac:dyDescent="0.4">
      <c r="A5" s="33"/>
      <c r="B5" s="34"/>
      <c r="C5" s="94"/>
      <c r="D5" s="99" t="s">
        <v>24</v>
      </c>
      <c r="E5" s="100"/>
      <c r="F5" s="4"/>
      <c r="G5" s="4"/>
      <c r="H5" s="4"/>
      <c r="I5" s="4"/>
      <c r="J5" s="4"/>
      <c r="K5" s="4"/>
      <c r="L5" s="88"/>
      <c r="M5" s="88"/>
      <c r="N5" s="6"/>
    </row>
    <row r="6" spans="1:14" ht="20.100000000000001" customHeight="1" x14ac:dyDescent="0.25">
      <c r="A6" s="7"/>
      <c r="B6" s="7"/>
      <c r="C6" s="7"/>
      <c r="D6" s="7"/>
      <c r="E6" s="7"/>
      <c r="L6" s="88"/>
      <c r="M6" s="88"/>
    </row>
    <row r="7" spans="1:14" ht="20.100000000000001" customHeight="1" x14ac:dyDescent="0.2">
      <c r="A7" s="8" t="s">
        <v>0</v>
      </c>
      <c r="B7" s="8"/>
      <c r="C7" s="9">
        <f ca="1">NOW()</f>
        <v>45183.946699189815</v>
      </c>
      <c r="D7" s="8" t="s">
        <v>1</v>
      </c>
      <c r="E7" s="49">
        <v>20230600729</v>
      </c>
      <c r="L7" s="5"/>
      <c r="M7" s="5"/>
    </row>
    <row r="8" spans="1:14" ht="20.100000000000001" customHeight="1" x14ac:dyDescent="0.25">
      <c r="A8" s="10"/>
      <c r="B8" s="10"/>
      <c r="C8" s="10"/>
      <c r="D8" s="10"/>
      <c r="E8" s="10"/>
      <c r="L8" s="5"/>
      <c r="M8" s="5"/>
    </row>
    <row r="9" spans="1:14" ht="20.100000000000001" customHeight="1" x14ac:dyDescent="0.2">
      <c r="A9" s="8" t="s">
        <v>2</v>
      </c>
      <c r="B9" s="8"/>
      <c r="C9" s="35" t="s">
        <v>38</v>
      </c>
      <c r="D9" s="12" t="s">
        <v>3</v>
      </c>
      <c r="E9" s="29"/>
      <c r="L9" s="5"/>
      <c r="M9" s="5"/>
    </row>
    <row r="10" spans="1:14" ht="20.100000000000001" customHeight="1" x14ac:dyDescent="0.25">
      <c r="A10" s="10"/>
      <c r="B10" s="10"/>
      <c r="C10" s="10"/>
      <c r="D10" s="10"/>
      <c r="E10" s="10"/>
      <c r="L10" s="5"/>
      <c r="M10" s="5"/>
    </row>
    <row r="11" spans="1:14" ht="20.100000000000001" customHeight="1" x14ac:dyDescent="0.2">
      <c r="A11" s="89" t="s">
        <v>17</v>
      </c>
      <c r="B11" s="90"/>
      <c r="C11" s="35" t="s">
        <v>39</v>
      </c>
      <c r="D11" s="12" t="s">
        <v>18</v>
      </c>
      <c r="E11" s="36" t="s">
        <v>36</v>
      </c>
      <c r="L11" s="5"/>
      <c r="M11" s="5"/>
    </row>
    <row r="12" spans="1:14" ht="20.100000000000001" customHeight="1" x14ac:dyDescent="0.25">
      <c r="A12" s="10"/>
      <c r="B12" s="10"/>
      <c r="C12" s="10"/>
      <c r="D12" s="10"/>
      <c r="E12" s="10"/>
      <c r="L12" s="5"/>
      <c r="M12" s="5"/>
    </row>
    <row r="13" spans="1:14" ht="20.100000000000001" customHeight="1" x14ac:dyDescent="0.2">
      <c r="A13" s="8" t="s">
        <v>4</v>
      </c>
      <c r="B13" s="8"/>
      <c r="C13" s="13" t="s">
        <v>40</v>
      </c>
      <c r="D13" s="12" t="s">
        <v>5</v>
      </c>
      <c r="E13" s="11" t="s">
        <v>37</v>
      </c>
      <c r="L13" s="5"/>
      <c r="M13" s="5"/>
    </row>
    <row r="14" spans="1:14" ht="20.100000000000001" customHeight="1" x14ac:dyDescent="0.25">
      <c r="A14" s="10"/>
      <c r="B14" s="10"/>
      <c r="C14" s="10"/>
      <c r="D14" s="10"/>
      <c r="E14" s="10"/>
      <c r="L14" s="14"/>
      <c r="M14" s="14"/>
    </row>
    <row r="15" spans="1:14" ht="20.100000000000001" customHeight="1" x14ac:dyDescent="0.2">
      <c r="A15" s="8" t="s">
        <v>6</v>
      </c>
      <c r="B15" s="8"/>
      <c r="C15" s="9">
        <v>45090</v>
      </c>
      <c r="D15" s="12" t="s">
        <v>7</v>
      </c>
      <c r="E15" s="15" t="s">
        <v>43</v>
      </c>
      <c r="L15" s="14"/>
      <c r="M15" s="14"/>
    </row>
    <row r="16" spans="1:14" ht="20.100000000000001" customHeight="1" x14ac:dyDescent="0.25">
      <c r="A16" s="10"/>
      <c r="B16" s="10"/>
      <c r="C16" s="10"/>
      <c r="D16" s="10"/>
      <c r="E16" s="10"/>
      <c r="L16" s="16"/>
      <c r="M16" s="16"/>
    </row>
    <row r="17" spans="1:13" ht="20.100000000000001" customHeight="1" x14ac:dyDescent="0.2">
      <c r="A17" s="8" t="s">
        <v>8</v>
      </c>
      <c r="B17" s="8"/>
      <c r="C17" s="11" t="s">
        <v>41</v>
      </c>
      <c r="D17" s="17"/>
      <c r="E17" s="18"/>
      <c r="L17" s="16"/>
      <c r="M17" s="16"/>
    </row>
    <row r="18" spans="1:13" ht="20.100000000000001" customHeight="1" x14ac:dyDescent="0.25">
      <c r="A18" s="10"/>
      <c r="B18" s="10"/>
      <c r="C18" s="10"/>
      <c r="D18" s="10"/>
      <c r="E18" s="10"/>
      <c r="L18" s="16"/>
      <c r="M18" s="16"/>
    </row>
    <row r="19" spans="1:13" ht="20.100000000000001" customHeight="1" x14ac:dyDescent="0.2">
      <c r="A19" s="8" t="s">
        <v>9</v>
      </c>
      <c r="B19" s="8"/>
      <c r="C19" s="11"/>
      <c r="D19" s="12" t="s">
        <v>15</v>
      </c>
      <c r="E19" s="15"/>
      <c r="L19" s="16"/>
      <c r="M19" s="16"/>
    </row>
    <row r="20" spans="1:13" ht="20.100000000000001" customHeight="1" x14ac:dyDescent="0.25">
      <c r="A20" s="10"/>
      <c r="B20" s="10"/>
      <c r="C20" s="10"/>
      <c r="D20" s="10"/>
      <c r="E20" s="10"/>
      <c r="L20" s="19"/>
      <c r="M20" s="19"/>
    </row>
    <row r="21" spans="1:13" ht="20.100000000000001" customHeight="1" x14ac:dyDescent="0.2">
      <c r="A21" s="8" t="s">
        <v>16</v>
      </c>
      <c r="B21" s="8"/>
      <c r="C21" s="30"/>
      <c r="D21" s="20"/>
      <c r="E21" s="21"/>
      <c r="L21" s="19"/>
      <c r="M21" s="19"/>
    </row>
    <row r="22" spans="1:13" ht="20.100000000000001" customHeight="1" x14ac:dyDescent="0.2">
      <c r="A22" s="22"/>
      <c r="B22" s="23"/>
      <c r="C22" s="22"/>
      <c r="D22" s="22"/>
      <c r="E22" s="22"/>
      <c r="L22" s="19"/>
      <c r="M22" s="19"/>
    </row>
    <row r="23" spans="1:13" ht="20.100000000000001" customHeight="1" x14ac:dyDescent="0.2">
      <c r="A23" s="24" t="s">
        <v>10</v>
      </c>
      <c r="B23" s="24" t="s">
        <v>11</v>
      </c>
      <c r="C23" s="24" t="s">
        <v>12</v>
      </c>
      <c r="D23" s="24" t="s">
        <v>13</v>
      </c>
      <c r="E23" s="24" t="s">
        <v>14</v>
      </c>
      <c r="L23" s="19"/>
      <c r="M23" s="19"/>
    </row>
    <row r="24" spans="1:13" ht="20.100000000000001" customHeight="1" x14ac:dyDescent="0.2">
      <c r="A24" s="61" t="s">
        <v>44</v>
      </c>
      <c r="B24" s="62" t="s">
        <v>45</v>
      </c>
      <c r="C24" s="63" t="s">
        <v>46</v>
      </c>
      <c r="D24" s="64">
        <v>1</v>
      </c>
      <c r="E24" s="41"/>
      <c r="L24" s="19"/>
      <c r="M24" s="19"/>
    </row>
    <row r="25" spans="1:13" ht="20.100000000000001" customHeight="1" x14ac:dyDescent="0.2">
      <c r="A25" s="61" t="s">
        <v>47</v>
      </c>
      <c r="B25" s="62" t="s">
        <v>48</v>
      </c>
      <c r="C25" s="63" t="s">
        <v>49</v>
      </c>
      <c r="D25" s="64">
        <v>4</v>
      </c>
      <c r="E25" s="41"/>
      <c r="L25" s="19"/>
      <c r="M25" s="19"/>
    </row>
    <row r="26" spans="1:13" ht="20.100000000000001" customHeight="1" x14ac:dyDescent="0.2">
      <c r="A26" s="61" t="s">
        <v>50</v>
      </c>
      <c r="B26" s="62" t="s">
        <v>51</v>
      </c>
      <c r="C26" s="63" t="s">
        <v>52</v>
      </c>
      <c r="D26" s="64">
        <v>6</v>
      </c>
      <c r="E26" s="41"/>
      <c r="L26" s="19"/>
      <c r="M26" s="19"/>
    </row>
    <row r="27" spans="1:13" ht="20.100000000000001" customHeight="1" x14ac:dyDescent="0.2">
      <c r="A27" s="61" t="s">
        <v>53</v>
      </c>
      <c r="B27" s="62" t="s">
        <v>54</v>
      </c>
      <c r="C27" s="63" t="s">
        <v>55</v>
      </c>
      <c r="D27" s="64">
        <v>6</v>
      </c>
      <c r="E27" s="41"/>
      <c r="L27" s="19"/>
      <c r="M27" s="19"/>
    </row>
    <row r="28" spans="1:13" ht="20.100000000000001" customHeight="1" x14ac:dyDescent="0.2">
      <c r="A28" s="61" t="s">
        <v>56</v>
      </c>
      <c r="B28" s="62" t="s">
        <v>57</v>
      </c>
      <c r="C28" s="63" t="s">
        <v>58</v>
      </c>
      <c r="D28" s="64">
        <v>4</v>
      </c>
      <c r="E28" s="41"/>
      <c r="L28" s="19"/>
      <c r="M28" s="19"/>
    </row>
    <row r="29" spans="1:13" ht="20.100000000000001" customHeight="1" x14ac:dyDescent="0.2">
      <c r="A29" s="61" t="s">
        <v>59</v>
      </c>
      <c r="B29" s="62" t="s">
        <v>60</v>
      </c>
      <c r="C29" s="63" t="s">
        <v>61</v>
      </c>
      <c r="D29" s="64">
        <v>3</v>
      </c>
      <c r="E29" s="41"/>
      <c r="L29" s="19"/>
      <c r="M29" s="19"/>
    </row>
    <row r="30" spans="1:13" ht="20.100000000000001" customHeight="1" x14ac:dyDescent="0.2">
      <c r="A30" s="61" t="s">
        <v>62</v>
      </c>
      <c r="B30" s="62" t="s">
        <v>63</v>
      </c>
      <c r="C30" s="63" t="s">
        <v>64</v>
      </c>
      <c r="D30" s="64">
        <v>4</v>
      </c>
      <c r="E30" s="41"/>
      <c r="L30" s="19"/>
      <c r="M30" s="19"/>
    </row>
    <row r="31" spans="1:13" ht="20.100000000000001" customHeight="1" x14ac:dyDescent="0.2">
      <c r="A31" s="61" t="s">
        <v>65</v>
      </c>
      <c r="B31" s="62" t="s">
        <v>66</v>
      </c>
      <c r="C31" s="63" t="s">
        <v>67</v>
      </c>
      <c r="D31" s="64">
        <v>4</v>
      </c>
      <c r="E31" s="41"/>
      <c r="L31" s="19"/>
      <c r="M31" s="19"/>
    </row>
    <row r="32" spans="1:13" ht="20.100000000000001" customHeight="1" x14ac:dyDescent="0.2">
      <c r="A32" s="61" t="s">
        <v>68</v>
      </c>
      <c r="B32" s="62" t="s">
        <v>69</v>
      </c>
      <c r="C32" s="63" t="s">
        <v>70</v>
      </c>
      <c r="D32" s="64">
        <v>4</v>
      </c>
      <c r="E32" s="41"/>
      <c r="L32" s="19"/>
      <c r="M32" s="19"/>
    </row>
    <row r="33" spans="1:13" ht="20.100000000000001" customHeight="1" x14ac:dyDescent="0.2">
      <c r="A33" s="61" t="s">
        <v>71</v>
      </c>
      <c r="B33" s="62" t="s">
        <v>72</v>
      </c>
      <c r="C33" s="63" t="s">
        <v>73</v>
      </c>
      <c r="D33" s="64">
        <v>4</v>
      </c>
      <c r="E33" s="41"/>
      <c r="L33" s="19"/>
      <c r="M33" s="19"/>
    </row>
    <row r="34" spans="1:13" ht="20.100000000000001" customHeight="1" x14ac:dyDescent="0.2">
      <c r="A34" s="61" t="s">
        <v>74</v>
      </c>
      <c r="B34" s="62" t="s">
        <v>75</v>
      </c>
      <c r="C34" s="63" t="s">
        <v>76</v>
      </c>
      <c r="D34" s="64">
        <v>4</v>
      </c>
      <c r="E34" s="41"/>
      <c r="L34" s="19"/>
      <c r="M34" s="19"/>
    </row>
    <row r="35" spans="1:13" ht="20.100000000000001" customHeight="1" x14ac:dyDescent="0.2">
      <c r="A35" s="61" t="s">
        <v>77</v>
      </c>
      <c r="B35" s="62" t="s">
        <v>78</v>
      </c>
      <c r="C35" s="63" t="s">
        <v>79</v>
      </c>
      <c r="D35" s="64">
        <v>4</v>
      </c>
      <c r="E35" s="41"/>
      <c r="L35" s="19"/>
      <c r="M35" s="19"/>
    </row>
    <row r="36" spans="1:13" ht="20.100000000000001" customHeight="1" x14ac:dyDescent="0.25">
      <c r="A36" s="61"/>
      <c r="B36" s="62"/>
      <c r="C36" s="63"/>
      <c r="D36" s="65">
        <f>SUM(D24:D35)</f>
        <v>48</v>
      </c>
      <c r="E36" s="41"/>
      <c r="L36" s="19"/>
      <c r="M36" s="19"/>
    </row>
    <row r="37" spans="1:13" ht="20.100000000000001" customHeight="1" x14ac:dyDescent="0.2">
      <c r="A37" s="61" t="s">
        <v>80</v>
      </c>
      <c r="B37" s="62">
        <v>2200111512</v>
      </c>
      <c r="C37" s="63" t="s">
        <v>81</v>
      </c>
      <c r="D37" s="64">
        <v>4</v>
      </c>
      <c r="E37" s="41"/>
      <c r="L37" s="19"/>
      <c r="M37" s="19"/>
    </row>
    <row r="38" spans="1:13" ht="20.100000000000001" customHeight="1" x14ac:dyDescent="0.2">
      <c r="A38" s="61" t="s">
        <v>82</v>
      </c>
      <c r="B38" s="62" t="s">
        <v>83</v>
      </c>
      <c r="C38" s="63" t="s">
        <v>84</v>
      </c>
      <c r="D38" s="64">
        <v>0</v>
      </c>
      <c r="E38" s="41"/>
      <c r="L38" s="19"/>
      <c r="M38" s="19"/>
    </row>
    <row r="39" spans="1:13" ht="20.100000000000001" customHeight="1" x14ac:dyDescent="0.2">
      <c r="A39" s="61" t="s">
        <v>85</v>
      </c>
      <c r="B39" s="62" t="s">
        <v>86</v>
      </c>
      <c r="C39" s="63" t="s">
        <v>87</v>
      </c>
      <c r="D39" s="64">
        <v>4</v>
      </c>
      <c r="E39" s="41"/>
      <c r="L39" s="19"/>
      <c r="M39" s="19"/>
    </row>
    <row r="40" spans="1:13" ht="20.100000000000001" customHeight="1" x14ac:dyDescent="0.2">
      <c r="A40" s="61" t="s">
        <v>88</v>
      </c>
      <c r="B40" s="62" t="s">
        <v>89</v>
      </c>
      <c r="C40" s="63" t="s">
        <v>90</v>
      </c>
      <c r="D40" s="64">
        <v>4</v>
      </c>
      <c r="E40" s="41"/>
      <c r="L40" s="19"/>
      <c r="M40" s="19"/>
    </row>
    <row r="41" spans="1:13" ht="20.100000000000001" customHeight="1" x14ac:dyDescent="0.2">
      <c r="A41" s="61" t="s">
        <v>91</v>
      </c>
      <c r="B41" s="62" t="s">
        <v>92</v>
      </c>
      <c r="C41" s="63" t="s">
        <v>93</v>
      </c>
      <c r="D41" s="64">
        <v>4</v>
      </c>
      <c r="E41" s="41"/>
      <c r="L41" s="19"/>
      <c r="M41" s="19"/>
    </row>
    <row r="42" spans="1:13" ht="20.100000000000001" customHeight="1" x14ac:dyDescent="0.2">
      <c r="A42" s="61" t="s">
        <v>94</v>
      </c>
      <c r="B42" s="62" t="s">
        <v>95</v>
      </c>
      <c r="C42" s="63" t="s">
        <v>96</v>
      </c>
      <c r="D42" s="64">
        <v>4</v>
      </c>
      <c r="E42" s="41"/>
      <c r="L42" s="19"/>
      <c r="M42" s="19"/>
    </row>
    <row r="43" spans="1:13" ht="20.100000000000001" customHeight="1" x14ac:dyDescent="0.2">
      <c r="A43" s="66" t="s">
        <v>97</v>
      </c>
      <c r="B43" s="62" t="s">
        <v>98</v>
      </c>
      <c r="C43" s="63" t="s">
        <v>99</v>
      </c>
      <c r="D43" s="64">
        <v>4</v>
      </c>
      <c r="E43" s="41"/>
      <c r="L43" s="19"/>
      <c r="M43" s="19"/>
    </row>
    <row r="44" spans="1:13" ht="20.100000000000001" customHeight="1" x14ac:dyDescent="0.2">
      <c r="A44" s="66" t="s">
        <v>100</v>
      </c>
      <c r="B44" s="62" t="s">
        <v>95</v>
      </c>
      <c r="C44" s="63" t="s">
        <v>101</v>
      </c>
      <c r="D44" s="64">
        <v>4</v>
      </c>
      <c r="E44" s="41"/>
      <c r="L44" s="19"/>
      <c r="M44" s="19"/>
    </row>
    <row r="45" spans="1:13" ht="20.100000000000001" customHeight="1" x14ac:dyDescent="0.2">
      <c r="A45" s="66" t="s">
        <v>102</v>
      </c>
      <c r="B45" s="62" t="s">
        <v>103</v>
      </c>
      <c r="C45" s="63" t="s">
        <v>104</v>
      </c>
      <c r="D45" s="64">
        <v>4</v>
      </c>
      <c r="E45" s="41"/>
      <c r="L45" s="19"/>
      <c r="M45" s="19"/>
    </row>
    <row r="46" spans="1:13" ht="20.100000000000001" customHeight="1" x14ac:dyDescent="0.25">
      <c r="A46" s="85"/>
      <c r="B46" s="86"/>
      <c r="C46" s="87"/>
      <c r="D46" s="65">
        <f>SUM(D37:D45)</f>
        <v>32</v>
      </c>
      <c r="E46" s="41"/>
      <c r="L46" s="19"/>
      <c r="M46" s="19"/>
    </row>
    <row r="47" spans="1:13" ht="20.100000000000001" customHeight="1" x14ac:dyDescent="0.2">
      <c r="A47" s="66" t="s">
        <v>105</v>
      </c>
      <c r="B47" s="62">
        <v>2100038727</v>
      </c>
      <c r="C47" s="63" t="s">
        <v>106</v>
      </c>
      <c r="D47" s="64">
        <v>0</v>
      </c>
      <c r="E47" s="41"/>
      <c r="L47" s="19"/>
      <c r="M47" s="19"/>
    </row>
    <row r="48" spans="1:13" ht="20.100000000000001" customHeight="1" x14ac:dyDescent="0.2">
      <c r="A48" s="66" t="s">
        <v>107</v>
      </c>
      <c r="B48" s="62">
        <v>2100038727</v>
      </c>
      <c r="C48" s="63" t="s">
        <v>108</v>
      </c>
      <c r="D48" s="64">
        <v>3</v>
      </c>
      <c r="E48" s="41"/>
      <c r="L48" s="19"/>
      <c r="M48" s="19"/>
    </row>
    <row r="49" spans="1:13" ht="20.100000000000001" customHeight="1" x14ac:dyDescent="0.2">
      <c r="A49" s="66" t="s">
        <v>109</v>
      </c>
      <c r="B49" s="62">
        <v>2100038807</v>
      </c>
      <c r="C49" s="63" t="s">
        <v>110</v>
      </c>
      <c r="D49" s="64">
        <v>6</v>
      </c>
      <c r="E49" s="41"/>
      <c r="L49" s="19"/>
      <c r="M49" s="19"/>
    </row>
    <row r="50" spans="1:13" ht="20.100000000000001" customHeight="1" x14ac:dyDescent="0.2">
      <c r="A50" s="66" t="s">
        <v>111</v>
      </c>
      <c r="B50" s="62">
        <v>200316799</v>
      </c>
      <c r="C50" s="63" t="s">
        <v>112</v>
      </c>
      <c r="D50" s="64">
        <v>6</v>
      </c>
      <c r="E50" s="41"/>
      <c r="L50" s="19"/>
      <c r="M50" s="19"/>
    </row>
    <row r="51" spans="1:13" ht="20.100000000000001" customHeight="1" x14ac:dyDescent="0.2">
      <c r="A51" s="66" t="s">
        <v>113</v>
      </c>
      <c r="B51" s="62">
        <v>200316800</v>
      </c>
      <c r="C51" s="63" t="s">
        <v>114</v>
      </c>
      <c r="D51" s="64">
        <v>6</v>
      </c>
      <c r="E51" s="41"/>
      <c r="L51" s="19"/>
      <c r="M51" s="19"/>
    </row>
    <row r="52" spans="1:13" ht="20.100000000000001" customHeight="1" x14ac:dyDescent="0.2">
      <c r="A52" s="66" t="s">
        <v>115</v>
      </c>
      <c r="B52" s="62">
        <v>2200067735</v>
      </c>
      <c r="C52" s="63" t="s">
        <v>116</v>
      </c>
      <c r="D52" s="64">
        <v>6</v>
      </c>
      <c r="E52" s="41"/>
      <c r="L52" s="19"/>
      <c r="M52" s="19"/>
    </row>
    <row r="53" spans="1:13" ht="20.100000000000001" customHeight="1" x14ac:dyDescent="0.2">
      <c r="A53" s="61" t="s">
        <v>117</v>
      </c>
      <c r="B53" s="62">
        <v>200316801</v>
      </c>
      <c r="C53" s="63" t="s">
        <v>118</v>
      </c>
      <c r="D53" s="64">
        <v>6</v>
      </c>
      <c r="E53" s="41"/>
      <c r="L53" s="19"/>
      <c r="M53" s="19"/>
    </row>
    <row r="54" spans="1:13" ht="20.100000000000001" customHeight="1" x14ac:dyDescent="0.2">
      <c r="A54" s="61" t="s">
        <v>119</v>
      </c>
      <c r="B54" s="62">
        <v>220344114</v>
      </c>
      <c r="C54" s="63" t="s">
        <v>120</v>
      </c>
      <c r="D54" s="64">
        <v>6</v>
      </c>
      <c r="E54" s="41"/>
      <c r="L54" s="19"/>
      <c r="M54" s="19"/>
    </row>
    <row r="55" spans="1:13" ht="20.100000000000001" customHeight="1" x14ac:dyDescent="0.2">
      <c r="A55" s="66" t="s">
        <v>121</v>
      </c>
      <c r="B55" s="62">
        <v>2200100917</v>
      </c>
      <c r="C55" s="63" t="s">
        <v>122</v>
      </c>
      <c r="D55" s="64">
        <v>6</v>
      </c>
      <c r="E55" s="41"/>
      <c r="L55" s="19"/>
      <c r="M55" s="19"/>
    </row>
    <row r="56" spans="1:13" ht="20.100000000000001" customHeight="1" x14ac:dyDescent="0.2">
      <c r="A56" s="66" t="s">
        <v>123</v>
      </c>
      <c r="B56" s="62">
        <v>200316805</v>
      </c>
      <c r="C56" s="63" t="s">
        <v>124</v>
      </c>
      <c r="D56" s="64">
        <v>6</v>
      </c>
      <c r="E56" s="41"/>
      <c r="L56" s="19"/>
      <c r="M56" s="19"/>
    </row>
    <row r="57" spans="1:13" ht="20.100000000000001" customHeight="1" x14ac:dyDescent="0.2">
      <c r="A57" s="61" t="s">
        <v>125</v>
      </c>
      <c r="B57" s="62">
        <v>220316806</v>
      </c>
      <c r="C57" s="63" t="s">
        <v>126</v>
      </c>
      <c r="D57" s="64">
        <v>6</v>
      </c>
      <c r="E57" s="41"/>
      <c r="L57" s="19"/>
      <c r="M57" s="19"/>
    </row>
    <row r="58" spans="1:13" ht="20.100000000000001" customHeight="1" x14ac:dyDescent="0.25">
      <c r="A58" s="67"/>
      <c r="B58" s="68"/>
      <c r="C58" s="63"/>
      <c r="D58" s="65">
        <f>SUM(D48:D57)</f>
        <v>57</v>
      </c>
      <c r="E58" s="41"/>
      <c r="L58" s="19"/>
      <c r="M58" s="19"/>
    </row>
    <row r="59" spans="1:13" ht="20.100000000000001" customHeight="1" x14ac:dyDescent="0.2">
      <c r="A59" s="61">
        <v>50102108</v>
      </c>
      <c r="B59" s="62">
        <v>2000083713</v>
      </c>
      <c r="C59" s="63" t="s">
        <v>127</v>
      </c>
      <c r="D59" s="64">
        <v>6</v>
      </c>
      <c r="E59" s="41"/>
      <c r="L59" s="19"/>
      <c r="M59" s="19"/>
    </row>
    <row r="60" spans="1:13" ht="20.100000000000001" customHeight="1" x14ac:dyDescent="0.2">
      <c r="A60" s="61" t="s">
        <v>128</v>
      </c>
      <c r="B60" s="62">
        <v>2100022697</v>
      </c>
      <c r="C60" s="63" t="s">
        <v>129</v>
      </c>
      <c r="D60" s="64">
        <v>6</v>
      </c>
      <c r="E60" s="41"/>
      <c r="L60" s="19"/>
      <c r="M60" s="19"/>
    </row>
    <row r="61" spans="1:13" ht="20.100000000000001" customHeight="1" x14ac:dyDescent="0.2">
      <c r="A61" s="61" t="s">
        <v>130</v>
      </c>
      <c r="B61" s="62">
        <v>2100022698</v>
      </c>
      <c r="C61" s="63" t="s">
        <v>131</v>
      </c>
      <c r="D61" s="64">
        <v>6</v>
      </c>
      <c r="E61" s="41"/>
      <c r="L61" s="19"/>
      <c r="M61" s="19"/>
    </row>
    <row r="62" spans="1:13" ht="20.100000000000001" customHeight="1" x14ac:dyDescent="0.2">
      <c r="A62" s="61" t="s">
        <v>132</v>
      </c>
      <c r="B62" s="62">
        <v>2100028611</v>
      </c>
      <c r="C62" s="63" t="s">
        <v>133</v>
      </c>
      <c r="D62" s="64">
        <v>4</v>
      </c>
      <c r="E62" s="41"/>
      <c r="L62" s="19"/>
      <c r="M62" s="19"/>
    </row>
    <row r="63" spans="1:13" ht="20.100000000000001" customHeight="1" x14ac:dyDescent="0.2">
      <c r="A63" s="61" t="s">
        <v>134</v>
      </c>
      <c r="B63" s="62" t="s">
        <v>135</v>
      </c>
      <c r="C63" s="63" t="s">
        <v>136</v>
      </c>
      <c r="D63" s="64">
        <v>6</v>
      </c>
      <c r="E63" s="41"/>
      <c r="L63" s="19"/>
      <c r="M63" s="19"/>
    </row>
    <row r="64" spans="1:13" ht="20.100000000000001" customHeight="1" x14ac:dyDescent="0.2">
      <c r="A64" s="61" t="s">
        <v>137</v>
      </c>
      <c r="B64" s="62">
        <v>2100010645</v>
      </c>
      <c r="C64" s="63" t="s">
        <v>138</v>
      </c>
      <c r="D64" s="64">
        <v>6</v>
      </c>
      <c r="E64" s="41"/>
      <c r="L64" s="19"/>
      <c r="M64" s="19"/>
    </row>
    <row r="65" spans="1:13" ht="20.100000000000001" customHeight="1" x14ac:dyDescent="0.2">
      <c r="A65" s="61" t="s">
        <v>139</v>
      </c>
      <c r="B65" s="62">
        <v>2100007516</v>
      </c>
      <c r="C65" s="63" t="s">
        <v>140</v>
      </c>
      <c r="D65" s="64">
        <v>1</v>
      </c>
      <c r="E65" s="41"/>
      <c r="L65" s="19"/>
      <c r="M65" s="19"/>
    </row>
    <row r="66" spans="1:13" ht="20.100000000000001" customHeight="1" x14ac:dyDescent="0.2">
      <c r="A66" s="61" t="s">
        <v>141</v>
      </c>
      <c r="B66" s="62" t="s">
        <v>142</v>
      </c>
      <c r="C66" s="63" t="s">
        <v>143</v>
      </c>
      <c r="D66" s="64">
        <v>6</v>
      </c>
      <c r="E66" s="41"/>
      <c r="L66" s="19"/>
      <c r="M66" s="19"/>
    </row>
    <row r="67" spans="1:13" ht="20.100000000000001" customHeight="1" x14ac:dyDescent="0.2">
      <c r="A67" s="61" t="s">
        <v>144</v>
      </c>
      <c r="B67" s="62" t="s">
        <v>145</v>
      </c>
      <c r="C67" s="63" t="s">
        <v>146</v>
      </c>
      <c r="D67" s="64">
        <v>6</v>
      </c>
      <c r="E67" s="41"/>
      <c r="L67" s="19"/>
      <c r="M67" s="19"/>
    </row>
    <row r="68" spans="1:13" ht="20.100000000000001" customHeight="1" x14ac:dyDescent="0.2">
      <c r="A68" s="61" t="s">
        <v>147</v>
      </c>
      <c r="B68" s="62">
        <v>2100023365</v>
      </c>
      <c r="C68" s="63" t="s">
        <v>148</v>
      </c>
      <c r="D68" s="64">
        <v>6</v>
      </c>
      <c r="E68" s="41"/>
      <c r="L68" s="19"/>
      <c r="M68" s="19"/>
    </row>
    <row r="69" spans="1:13" ht="20.100000000000001" customHeight="1" x14ac:dyDescent="0.2">
      <c r="A69" s="61" t="s">
        <v>149</v>
      </c>
      <c r="B69" s="61" t="s">
        <v>150</v>
      </c>
      <c r="C69" s="69" t="s">
        <v>151</v>
      </c>
      <c r="D69" s="64">
        <v>6</v>
      </c>
      <c r="E69" s="41"/>
      <c r="L69" s="19"/>
      <c r="M69" s="19"/>
    </row>
    <row r="70" spans="1:13" ht="20.100000000000001" customHeight="1" x14ac:dyDescent="0.2">
      <c r="A70" s="61" t="s">
        <v>152</v>
      </c>
      <c r="B70" s="61" t="s">
        <v>153</v>
      </c>
      <c r="C70" s="69" t="s">
        <v>154</v>
      </c>
      <c r="D70" s="64">
        <v>6</v>
      </c>
      <c r="E70" s="41"/>
      <c r="L70" s="19"/>
      <c r="M70" s="19"/>
    </row>
    <row r="71" spans="1:13" ht="20.100000000000001" customHeight="1" x14ac:dyDescent="0.2">
      <c r="A71" s="61" t="s">
        <v>155</v>
      </c>
      <c r="B71" s="61" t="s">
        <v>156</v>
      </c>
      <c r="C71" s="69" t="s">
        <v>157</v>
      </c>
      <c r="D71" s="64">
        <v>6</v>
      </c>
      <c r="E71" s="41"/>
      <c r="L71" s="19"/>
      <c r="M71" s="19"/>
    </row>
    <row r="72" spans="1:13" ht="20.100000000000001" customHeight="1" x14ac:dyDescent="0.2">
      <c r="A72" s="61" t="s">
        <v>158</v>
      </c>
      <c r="B72" s="61" t="s">
        <v>159</v>
      </c>
      <c r="C72" s="69" t="s">
        <v>160</v>
      </c>
      <c r="D72" s="64">
        <v>6</v>
      </c>
      <c r="E72" s="41"/>
      <c r="L72" s="19"/>
      <c r="M72" s="19"/>
    </row>
    <row r="73" spans="1:13" ht="20.100000000000001" customHeight="1" x14ac:dyDescent="0.2">
      <c r="A73" s="61" t="s">
        <v>161</v>
      </c>
      <c r="B73" s="61" t="s">
        <v>162</v>
      </c>
      <c r="C73" s="69" t="s">
        <v>163</v>
      </c>
      <c r="D73" s="64">
        <v>6</v>
      </c>
      <c r="E73" s="41"/>
      <c r="L73" s="19"/>
      <c r="M73" s="19"/>
    </row>
    <row r="74" spans="1:13" ht="20.100000000000001" customHeight="1" x14ac:dyDescent="0.2">
      <c r="A74" s="61" t="s">
        <v>164</v>
      </c>
      <c r="B74" s="61" t="s">
        <v>165</v>
      </c>
      <c r="C74" s="69" t="s">
        <v>166</v>
      </c>
      <c r="D74" s="64">
        <v>6</v>
      </c>
      <c r="E74" s="41"/>
      <c r="L74" s="19"/>
      <c r="M74" s="19"/>
    </row>
    <row r="75" spans="1:13" ht="20.100000000000001" customHeight="1" x14ac:dyDescent="0.2">
      <c r="A75" s="61" t="s">
        <v>167</v>
      </c>
      <c r="B75" s="61" t="s">
        <v>168</v>
      </c>
      <c r="C75" s="69" t="s">
        <v>169</v>
      </c>
      <c r="D75" s="64">
        <v>6</v>
      </c>
      <c r="E75" s="41"/>
      <c r="L75" s="19"/>
      <c r="M75" s="19"/>
    </row>
    <row r="76" spans="1:13" ht="20.100000000000001" customHeight="1" x14ac:dyDescent="0.2">
      <c r="A76" s="61" t="s">
        <v>170</v>
      </c>
      <c r="B76" s="61" t="s">
        <v>171</v>
      </c>
      <c r="C76" s="69" t="s">
        <v>172</v>
      </c>
      <c r="D76" s="64">
        <v>6</v>
      </c>
      <c r="E76" s="41"/>
      <c r="L76" s="19"/>
      <c r="M76" s="19"/>
    </row>
    <row r="77" spans="1:13" ht="20.100000000000001" customHeight="1" x14ac:dyDescent="0.25">
      <c r="A77" s="25"/>
      <c r="B77" s="70"/>
      <c r="C77" s="71"/>
      <c r="D77" s="72">
        <f>SUM(D59:D76)</f>
        <v>101</v>
      </c>
      <c r="E77" s="41"/>
      <c r="L77" s="19"/>
      <c r="M77" s="19"/>
    </row>
    <row r="78" spans="1:13" ht="20.100000000000001" customHeight="1" x14ac:dyDescent="0.2">
      <c r="A78" s="46">
        <v>1580</v>
      </c>
      <c r="B78" s="46">
        <v>190703591</v>
      </c>
      <c r="C78" s="46" t="s">
        <v>173</v>
      </c>
      <c r="D78" s="47">
        <v>2</v>
      </c>
      <c r="E78" s="73"/>
      <c r="L78" s="19"/>
      <c r="M78" s="19"/>
    </row>
    <row r="79" spans="1:13" ht="20.100000000000001" customHeight="1" x14ac:dyDescent="0.2">
      <c r="A79" s="46">
        <v>1581</v>
      </c>
      <c r="B79" s="46">
        <v>190703591</v>
      </c>
      <c r="C79" s="46" t="s">
        <v>174</v>
      </c>
      <c r="D79" s="47">
        <v>2</v>
      </c>
      <c r="E79" s="74"/>
      <c r="L79" s="19"/>
      <c r="M79" s="19"/>
    </row>
    <row r="80" spans="1:13" ht="20.100000000000001" customHeight="1" x14ac:dyDescent="0.2">
      <c r="A80" s="46" t="s">
        <v>175</v>
      </c>
      <c r="B80" s="46">
        <v>190703589</v>
      </c>
      <c r="C80" s="46" t="s">
        <v>176</v>
      </c>
      <c r="D80" s="47">
        <v>2</v>
      </c>
      <c r="E80" s="74"/>
      <c r="L80" s="19"/>
      <c r="M80" s="19"/>
    </row>
    <row r="81" spans="1:13" ht="20.100000000000001" customHeight="1" x14ac:dyDescent="0.2">
      <c r="A81" s="46" t="s">
        <v>177</v>
      </c>
      <c r="B81" s="46">
        <v>190704150</v>
      </c>
      <c r="C81" s="46" t="s">
        <v>178</v>
      </c>
      <c r="D81" s="47">
        <v>2</v>
      </c>
      <c r="E81" s="74"/>
      <c r="L81" s="19"/>
      <c r="M81" s="19"/>
    </row>
    <row r="82" spans="1:13" ht="20.100000000000001" customHeight="1" x14ac:dyDescent="0.25">
      <c r="A82" s="46"/>
      <c r="B82" s="46"/>
      <c r="C82" s="46"/>
      <c r="D82" s="45">
        <f>SUM(D78:D81)</f>
        <v>8</v>
      </c>
      <c r="E82" s="74"/>
      <c r="L82" s="19"/>
      <c r="M82" s="19"/>
    </row>
    <row r="83" spans="1:13" ht="20.100000000000001" customHeight="1" x14ac:dyDescent="0.2">
      <c r="A83" s="46" t="s">
        <v>179</v>
      </c>
      <c r="B83" s="46">
        <v>190703552</v>
      </c>
      <c r="C83" s="46" t="s">
        <v>180</v>
      </c>
      <c r="D83" s="47">
        <v>3</v>
      </c>
      <c r="E83" s="74"/>
      <c r="L83" s="19"/>
      <c r="M83" s="19"/>
    </row>
    <row r="84" spans="1:13" ht="20.100000000000001" customHeight="1" x14ac:dyDescent="0.2">
      <c r="A84" s="46" t="s">
        <v>181</v>
      </c>
      <c r="B84" s="46">
        <v>190703551</v>
      </c>
      <c r="C84" s="46" t="s">
        <v>182</v>
      </c>
      <c r="D84" s="47">
        <v>6</v>
      </c>
      <c r="E84" s="74"/>
      <c r="L84" s="19"/>
      <c r="M84" s="19"/>
    </row>
    <row r="85" spans="1:13" ht="20.100000000000001" customHeight="1" x14ac:dyDescent="0.2">
      <c r="A85" s="46" t="s">
        <v>183</v>
      </c>
      <c r="B85" s="46">
        <v>2100004807</v>
      </c>
      <c r="C85" s="46" t="s">
        <v>184</v>
      </c>
      <c r="D85" s="47">
        <v>6</v>
      </c>
      <c r="E85" s="74"/>
      <c r="L85" s="19"/>
      <c r="M85" s="19"/>
    </row>
    <row r="86" spans="1:13" ht="20.100000000000001" customHeight="1" x14ac:dyDescent="0.2">
      <c r="A86" s="46" t="s">
        <v>80</v>
      </c>
      <c r="B86" s="46">
        <v>2100010641</v>
      </c>
      <c r="C86" s="46" t="s">
        <v>185</v>
      </c>
      <c r="D86" s="47">
        <v>6</v>
      </c>
      <c r="E86" s="74"/>
      <c r="L86" s="19"/>
      <c r="M86" s="19"/>
    </row>
    <row r="87" spans="1:13" ht="20.100000000000001" customHeight="1" x14ac:dyDescent="0.2">
      <c r="A87" s="46" t="s">
        <v>82</v>
      </c>
      <c r="B87" s="46" t="s">
        <v>83</v>
      </c>
      <c r="C87" s="46" t="s">
        <v>84</v>
      </c>
      <c r="D87" s="47">
        <v>6</v>
      </c>
      <c r="E87" s="74"/>
      <c r="L87" s="19"/>
      <c r="M87" s="19"/>
    </row>
    <row r="88" spans="1:13" ht="20.100000000000001" customHeight="1" x14ac:dyDescent="0.2">
      <c r="A88" s="46" t="s">
        <v>186</v>
      </c>
      <c r="B88" s="46" t="s">
        <v>187</v>
      </c>
      <c r="C88" s="46" t="s">
        <v>188</v>
      </c>
      <c r="D88" s="47">
        <v>6</v>
      </c>
      <c r="E88" s="74"/>
      <c r="L88" s="19"/>
      <c r="M88" s="19"/>
    </row>
    <row r="89" spans="1:13" ht="20.100000000000001" customHeight="1" x14ac:dyDescent="0.2">
      <c r="A89" s="46" t="s">
        <v>85</v>
      </c>
      <c r="B89" s="46" t="s">
        <v>86</v>
      </c>
      <c r="C89" s="46" t="s">
        <v>87</v>
      </c>
      <c r="D89" s="47">
        <v>6</v>
      </c>
      <c r="E89" s="74"/>
      <c r="L89" s="19"/>
      <c r="M89" s="19"/>
    </row>
    <row r="90" spans="1:13" ht="20.100000000000001" customHeight="1" x14ac:dyDescent="0.2">
      <c r="A90" s="46" t="s">
        <v>88</v>
      </c>
      <c r="B90" s="46" t="s">
        <v>89</v>
      </c>
      <c r="C90" s="46" t="s">
        <v>90</v>
      </c>
      <c r="D90" s="47">
        <v>6</v>
      </c>
      <c r="E90" s="74"/>
      <c r="L90" s="19"/>
      <c r="M90" s="19"/>
    </row>
    <row r="91" spans="1:13" ht="20.100000000000001" customHeight="1" x14ac:dyDescent="0.2">
      <c r="A91" s="46" t="s">
        <v>91</v>
      </c>
      <c r="B91" s="46" t="s">
        <v>92</v>
      </c>
      <c r="C91" s="46" t="s">
        <v>93</v>
      </c>
      <c r="D91" s="47">
        <v>3</v>
      </c>
      <c r="E91" s="74"/>
      <c r="L91" s="19"/>
      <c r="M91" s="19"/>
    </row>
    <row r="92" spans="1:13" ht="20.100000000000001" customHeight="1" x14ac:dyDescent="0.2">
      <c r="A92" s="46" t="s">
        <v>94</v>
      </c>
      <c r="B92" s="46" t="s">
        <v>189</v>
      </c>
      <c r="C92" s="46" t="s">
        <v>96</v>
      </c>
      <c r="D92" s="47">
        <v>3</v>
      </c>
      <c r="E92" s="74"/>
      <c r="L92" s="19"/>
      <c r="M92" s="19"/>
    </row>
    <row r="93" spans="1:13" ht="20.100000000000001" customHeight="1" x14ac:dyDescent="0.2">
      <c r="A93" s="46" t="s">
        <v>97</v>
      </c>
      <c r="B93" s="46" t="s">
        <v>98</v>
      </c>
      <c r="C93" s="46" t="s">
        <v>99</v>
      </c>
      <c r="D93" s="47">
        <v>3</v>
      </c>
      <c r="E93" s="74"/>
      <c r="L93" s="19"/>
      <c r="M93" s="19"/>
    </row>
    <row r="94" spans="1:13" ht="20.100000000000001" customHeight="1" x14ac:dyDescent="0.2">
      <c r="A94" s="46" t="s">
        <v>100</v>
      </c>
      <c r="B94" s="46" t="s">
        <v>95</v>
      </c>
      <c r="C94" s="46" t="s">
        <v>101</v>
      </c>
      <c r="D94" s="47">
        <v>3</v>
      </c>
      <c r="E94" s="74"/>
      <c r="L94" s="19"/>
      <c r="M94" s="19"/>
    </row>
    <row r="95" spans="1:13" ht="20.100000000000001" customHeight="1" x14ac:dyDescent="0.2">
      <c r="A95" s="46" t="s">
        <v>190</v>
      </c>
      <c r="B95" s="46">
        <v>2100081475</v>
      </c>
      <c r="C95" s="46" t="s">
        <v>104</v>
      </c>
      <c r="D95" s="47">
        <v>2</v>
      </c>
      <c r="E95" s="74"/>
      <c r="L95" s="19"/>
      <c r="M95" s="19"/>
    </row>
    <row r="96" spans="1:13" ht="20.100000000000001" customHeight="1" x14ac:dyDescent="0.2">
      <c r="A96" s="46" t="s">
        <v>191</v>
      </c>
      <c r="B96" s="46">
        <v>190703540</v>
      </c>
      <c r="C96" s="46" t="s">
        <v>192</v>
      </c>
      <c r="D96" s="47">
        <v>2</v>
      </c>
      <c r="E96" s="74"/>
      <c r="L96" s="19"/>
      <c r="M96" s="19"/>
    </row>
    <row r="97" spans="1:13" ht="20.100000000000001" customHeight="1" x14ac:dyDescent="0.2">
      <c r="A97" s="46" t="s">
        <v>193</v>
      </c>
      <c r="B97" s="46">
        <v>190703538</v>
      </c>
      <c r="C97" s="46" t="s">
        <v>194</v>
      </c>
      <c r="D97" s="47">
        <v>3</v>
      </c>
      <c r="E97" s="74"/>
      <c r="L97" s="19"/>
      <c r="M97" s="19"/>
    </row>
    <row r="98" spans="1:13" s="25" customFormat="1" ht="20.100000000000001" customHeight="1" x14ac:dyDescent="0.25">
      <c r="A98" s="46"/>
      <c r="B98" s="46"/>
      <c r="C98" s="46"/>
      <c r="D98" s="45">
        <f>SUM(D83:D97)</f>
        <v>64</v>
      </c>
      <c r="E98" s="74"/>
      <c r="L98" s="19"/>
      <c r="M98" s="19"/>
    </row>
    <row r="99" spans="1:13" s="25" customFormat="1" ht="20.100000000000001" customHeight="1" x14ac:dyDescent="0.2">
      <c r="A99" s="46" t="s">
        <v>195</v>
      </c>
      <c r="B99" s="46">
        <v>190703564</v>
      </c>
      <c r="C99" s="46" t="s">
        <v>196</v>
      </c>
      <c r="D99" s="47">
        <v>4</v>
      </c>
      <c r="E99" s="74"/>
      <c r="L99" s="19"/>
      <c r="M99" s="19"/>
    </row>
    <row r="100" spans="1:13" s="25" customFormat="1" ht="20.100000000000001" customHeight="1" x14ac:dyDescent="0.2">
      <c r="A100" s="46" t="s">
        <v>197</v>
      </c>
      <c r="B100" s="46">
        <v>190703563</v>
      </c>
      <c r="C100" s="46" t="s">
        <v>127</v>
      </c>
      <c r="D100" s="47">
        <v>8</v>
      </c>
      <c r="E100" s="74"/>
      <c r="L100" s="19"/>
      <c r="M100" s="19"/>
    </row>
    <row r="101" spans="1:13" s="25" customFormat="1" ht="20.100000000000001" customHeight="1" x14ac:dyDescent="0.2">
      <c r="A101" s="46" t="s">
        <v>198</v>
      </c>
      <c r="B101" s="46">
        <v>2100022697</v>
      </c>
      <c r="C101" s="46" t="s">
        <v>129</v>
      </c>
      <c r="D101" s="47">
        <v>8</v>
      </c>
      <c r="E101" s="74"/>
      <c r="L101" s="19"/>
      <c r="M101" s="19"/>
    </row>
    <row r="102" spans="1:13" s="25" customFormat="1" ht="20.100000000000001" customHeight="1" x14ac:dyDescent="0.2">
      <c r="A102" s="46" t="s">
        <v>199</v>
      </c>
      <c r="B102" s="46">
        <v>190703561</v>
      </c>
      <c r="C102" s="46" t="s">
        <v>131</v>
      </c>
      <c r="D102" s="47">
        <v>8</v>
      </c>
      <c r="E102" s="74"/>
      <c r="L102" s="19"/>
      <c r="M102" s="19"/>
    </row>
    <row r="103" spans="1:13" ht="20.100000000000001" customHeight="1" x14ac:dyDescent="0.2">
      <c r="A103" s="46" t="s">
        <v>200</v>
      </c>
      <c r="B103" s="46">
        <v>2100028611</v>
      </c>
      <c r="C103" s="46" t="s">
        <v>133</v>
      </c>
      <c r="D103" s="47">
        <v>8</v>
      </c>
      <c r="E103" s="74"/>
    </row>
    <row r="104" spans="1:13" ht="20.100000000000001" customHeight="1" x14ac:dyDescent="0.2">
      <c r="A104" s="46" t="s">
        <v>201</v>
      </c>
      <c r="B104" s="46" t="s">
        <v>135</v>
      </c>
      <c r="C104" s="46" t="s">
        <v>136</v>
      </c>
      <c r="D104" s="47">
        <v>8</v>
      </c>
      <c r="E104" s="74"/>
    </row>
    <row r="105" spans="1:13" ht="20.100000000000001" customHeight="1" x14ac:dyDescent="0.2">
      <c r="A105" s="46" t="s">
        <v>202</v>
      </c>
      <c r="B105" s="46">
        <v>2100010645</v>
      </c>
      <c r="C105" s="46" t="s">
        <v>138</v>
      </c>
      <c r="D105" s="47">
        <v>8</v>
      </c>
      <c r="E105" s="74"/>
    </row>
    <row r="106" spans="1:13" ht="20.100000000000001" customHeight="1" x14ac:dyDescent="0.2">
      <c r="A106" s="46" t="s">
        <v>203</v>
      </c>
      <c r="B106" s="46">
        <v>2100007516</v>
      </c>
      <c r="C106" s="46" t="s">
        <v>140</v>
      </c>
      <c r="D106" s="47">
        <v>8</v>
      </c>
      <c r="E106" s="74"/>
    </row>
    <row r="107" spans="1:13" ht="20.100000000000001" customHeight="1" x14ac:dyDescent="0.2">
      <c r="A107" s="46" t="s">
        <v>204</v>
      </c>
      <c r="B107" s="46" t="s">
        <v>142</v>
      </c>
      <c r="C107" s="46" t="s">
        <v>143</v>
      </c>
      <c r="D107" s="47">
        <v>4</v>
      </c>
      <c r="E107" s="74"/>
    </row>
    <row r="108" spans="1:13" ht="20.100000000000001" customHeight="1" x14ac:dyDescent="0.2">
      <c r="A108" s="46" t="s">
        <v>205</v>
      </c>
      <c r="B108" s="46" t="s">
        <v>145</v>
      </c>
      <c r="C108" s="46" t="s">
        <v>146</v>
      </c>
      <c r="D108" s="47">
        <v>4</v>
      </c>
      <c r="E108" s="74"/>
    </row>
    <row r="109" spans="1:13" ht="20.100000000000001" customHeight="1" x14ac:dyDescent="0.2">
      <c r="A109" s="46" t="s">
        <v>206</v>
      </c>
      <c r="B109" s="46">
        <v>2100023365</v>
      </c>
      <c r="C109" s="46" t="s">
        <v>148</v>
      </c>
      <c r="D109" s="47">
        <v>4</v>
      </c>
      <c r="E109" s="74"/>
    </row>
    <row r="110" spans="1:13" ht="20.100000000000001" customHeight="1" x14ac:dyDescent="0.2">
      <c r="A110" s="46" t="s">
        <v>207</v>
      </c>
      <c r="B110" s="46" t="s">
        <v>208</v>
      </c>
      <c r="C110" s="46" t="s">
        <v>151</v>
      </c>
      <c r="D110" s="47">
        <v>4</v>
      </c>
      <c r="E110" s="74"/>
    </row>
    <row r="111" spans="1:13" ht="20.100000000000001" customHeight="1" x14ac:dyDescent="0.2">
      <c r="A111" s="46" t="s">
        <v>209</v>
      </c>
      <c r="B111" s="46" t="s">
        <v>153</v>
      </c>
      <c r="C111" s="46" t="s">
        <v>154</v>
      </c>
      <c r="D111" s="47">
        <v>4</v>
      </c>
      <c r="E111" s="74"/>
    </row>
    <row r="112" spans="1:13" ht="20.100000000000001" customHeight="1" x14ac:dyDescent="0.2">
      <c r="A112" s="46" t="s">
        <v>210</v>
      </c>
      <c r="B112" s="46" t="s">
        <v>211</v>
      </c>
      <c r="C112" s="46" t="s">
        <v>157</v>
      </c>
      <c r="D112" s="47">
        <v>2</v>
      </c>
      <c r="E112" s="74"/>
    </row>
    <row r="113" spans="1:5" ht="20.100000000000001" customHeight="1" x14ac:dyDescent="0.2">
      <c r="A113" s="46" t="s">
        <v>212</v>
      </c>
      <c r="B113" s="46" t="s">
        <v>213</v>
      </c>
      <c r="C113" s="46" t="s">
        <v>160</v>
      </c>
      <c r="D113" s="47">
        <v>3</v>
      </c>
      <c r="E113" s="74"/>
    </row>
    <row r="114" spans="1:5" ht="20.100000000000001" customHeight="1" x14ac:dyDescent="0.2">
      <c r="A114" s="46" t="s">
        <v>214</v>
      </c>
      <c r="B114" s="46" t="s">
        <v>162</v>
      </c>
      <c r="C114" s="46" t="s">
        <v>163</v>
      </c>
      <c r="D114" s="47">
        <v>4</v>
      </c>
      <c r="E114" s="74"/>
    </row>
    <row r="115" spans="1:5" ht="20.100000000000001" customHeight="1" x14ac:dyDescent="0.2">
      <c r="A115" s="46" t="s">
        <v>215</v>
      </c>
      <c r="B115" s="46" t="s">
        <v>216</v>
      </c>
      <c r="C115" s="46" t="s">
        <v>166</v>
      </c>
      <c r="D115" s="47">
        <v>4</v>
      </c>
      <c r="E115" s="74"/>
    </row>
    <row r="116" spans="1:5" ht="20.100000000000001" customHeight="1" x14ac:dyDescent="0.25">
      <c r="A116" s="75"/>
      <c r="B116" s="76"/>
      <c r="C116" s="77"/>
      <c r="D116" s="45">
        <f>SUM(D99:D115)</f>
        <v>93</v>
      </c>
      <c r="E116" s="74"/>
    </row>
    <row r="117" spans="1:5" ht="20.100000000000001" customHeight="1" x14ac:dyDescent="0.2">
      <c r="A117" s="84" t="s">
        <v>242</v>
      </c>
      <c r="B117" s="62">
        <v>2100022432</v>
      </c>
      <c r="C117" s="75" t="s">
        <v>243</v>
      </c>
      <c r="D117" s="64">
        <v>3</v>
      </c>
      <c r="E117" s="41"/>
    </row>
    <row r="118" spans="1:5" ht="20.100000000000001" customHeight="1" x14ac:dyDescent="0.2">
      <c r="A118" s="84" t="s">
        <v>244</v>
      </c>
      <c r="B118" s="62">
        <v>2100022434</v>
      </c>
      <c r="C118" s="75" t="s">
        <v>245</v>
      </c>
      <c r="D118" s="64">
        <v>3</v>
      </c>
      <c r="E118" s="41"/>
    </row>
    <row r="119" spans="1:5" ht="20.100000000000001" customHeight="1" x14ac:dyDescent="0.2">
      <c r="A119" s="66" t="s">
        <v>246</v>
      </c>
      <c r="B119" s="62" t="s">
        <v>103</v>
      </c>
      <c r="C119" s="75" t="s">
        <v>194</v>
      </c>
      <c r="D119" s="64">
        <v>3</v>
      </c>
      <c r="E119" s="41"/>
    </row>
    <row r="120" spans="1:5" ht="20.100000000000001" customHeight="1" x14ac:dyDescent="0.25">
      <c r="A120" s="55"/>
      <c r="B120" s="82"/>
      <c r="C120" s="83"/>
      <c r="D120" s="52"/>
      <c r="E120" s="53"/>
    </row>
    <row r="121" spans="1:5" ht="20.100000000000001" customHeight="1" x14ac:dyDescent="0.25">
      <c r="A121" s="55"/>
      <c r="B121" s="82"/>
      <c r="C121" s="83"/>
      <c r="D121" s="52"/>
      <c r="E121" s="53"/>
    </row>
    <row r="122" spans="1:5" ht="20.100000000000001" customHeight="1" x14ac:dyDescent="0.25">
      <c r="A122" s="55"/>
      <c r="B122" s="82"/>
      <c r="C122" s="83"/>
      <c r="D122" s="52"/>
      <c r="E122" s="53"/>
    </row>
    <row r="123" spans="1:5" ht="20.100000000000001" customHeight="1" x14ac:dyDescent="0.25">
      <c r="A123" s="55"/>
      <c r="B123" s="78"/>
      <c r="C123" s="54" t="s">
        <v>217</v>
      </c>
      <c r="D123" s="52"/>
      <c r="E123" s="53"/>
    </row>
    <row r="124" spans="1:5" ht="20.100000000000001" customHeight="1" x14ac:dyDescent="0.25">
      <c r="A124" s="55"/>
      <c r="B124" s="43" t="s">
        <v>25</v>
      </c>
      <c r="C124" s="43" t="s">
        <v>26</v>
      </c>
      <c r="D124" s="52"/>
      <c r="E124" s="53"/>
    </row>
    <row r="125" spans="1:5" ht="20.100000000000001" customHeight="1" x14ac:dyDescent="0.25">
      <c r="A125" s="55"/>
      <c r="B125" s="78"/>
      <c r="C125" s="43" t="s">
        <v>27</v>
      </c>
      <c r="D125" s="44"/>
      <c r="E125" s="44"/>
    </row>
    <row r="126" spans="1:5" ht="20.100000000000001" customHeight="1" x14ac:dyDescent="0.25">
      <c r="A126" s="55"/>
      <c r="B126" s="42">
        <v>2</v>
      </c>
      <c r="C126" s="79" t="s">
        <v>218</v>
      </c>
      <c r="D126" s="44"/>
      <c r="E126" s="44"/>
    </row>
    <row r="127" spans="1:5" ht="20.100000000000001" customHeight="1" x14ac:dyDescent="0.25">
      <c r="A127" s="55"/>
      <c r="B127" s="42">
        <v>2</v>
      </c>
      <c r="C127" s="79" t="s">
        <v>30</v>
      </c>
      <c r="D127" s="44"/>
      <c r="E127" s="44"/>
    </row>
    <row r="128" spans="1:5" ht="20.100000000000001" customHeight="1" x14ac:dyDescent="0.25">
      <c r="A128" s="55"/>
      <c r="B128" s="42">
        <v>1</v>
      </c>
      <c r="C128" s="79" t="s">
        <v>219</v>
      </c>
      <c r="D128" s="44"/>
      <c r="E128" s="44"/>
    </row>
    <row r="129" spans="1:5" ht="20.100000000000001" customHeight="1" x14ac:dyDescent="0.25">
      <c r="A129" s="55"/>
      <c r="B129" s="42">
        <v>1</v>
      </c>
      <c r="C129" s="79" t="s">
        <v>220</v>
      </c>
      <c r="D129" s="44"/>
      <c r="E129" s="44"/>
    </row>
    <row r="130" spans="1:5" ht="20.100000000000001" customHeight="1" x14ac:dyDescent="0.25">
      <c r="A130" s="55"/>
      <c r="B130" s="42">
        <v>1</v>
      </c>
      <c r="C130" s="79" t="s">
        <v>221</v>
      </c>
      <c r="D130" s="44"/>
      <c r="E130" s="44"/>
    </row>
    <row r="131" spans="1:5" ht="20.100000000000001" customHeight="1" x14ac:dyDescent="0.25">
      <c r="A131" s="55"/>
      <c r="B131" s="42">
        <v>2</v>
      </c>
      <c r="C131" s="79" t="s">
        <v>222</v>
      </c>
      <c r="D131" s="44"/>
      <c r="E131" s="44"/>
    </row>
    <row r="132" spans="1:5" ht="20.100000000000001" customHeight="1" x14ac:dyDescent="0.25">
      <c r="A132" s="55"/>
      <c r="B132" s="42">
        <v>1</v>
      </c>
      <c r="C132" s="79" t="s">
        <v>223</v>
      </c>
      <c r="D132" s="44"/>
      <c r="E132" s="44"/>
    </row>
    <row r="133" spans="1:5" ht="20.100000000000001" customHeight="1" x14ac:dyDescent="0.25">
      <c r="A133" s="55"/>
      <c r="B133" s="42">
        <v>1</v>
      </c>
      <c r="C133" s="79" t="s">
        <v>224</v>
      </c>
      <c r="D133" s="44"/>
      <c r="E133" s="44"/>
    </row>
    <row r="134" spans="1:5" ht="20.100000000000001" customHeight="1" x14ac:dyDescent="0.25">
      <c r="A134" s="55"/>
      <c r="B134" s="42">
        <v>1</v>
      </c>
      <c r="C134" s="79" t="s">
        <v>225</v>
      </c>
      <c r="D134" s="44"/>
      <c r="E134" s="44"/>
    </row>
    <row r="135" spans="1:5" ht="20.100000000000001" customHeight="1" x14ac:dyDescent="0.25">
      <c r="A135" s="55"/>
      <c r="B135" s="54">
        <f>SUM(B126:B134)</f>
        <v>12</v>
      </c>
      <c r="C135" s="79"/>
      <c r="D135" s="44"/>
      <c r="E135" s="44"/>
    </row>
    <row r="136" spans="1:5" ht="20.100000000000001" customHeight="1" x14ac:dyDescent="0.25">
      <c r="A136" s="55"/>
      <c r="B136" s="44"/>
      <c r="C136" s="44"/>
      <c r="D136" s="44"/>
      <c r="E136" s="44"/>
    </row>
    <row r="137" spans="1:5" ht="20.100000000000001" customHeight="1" x14ac:dyDescent="0.25">
      <c r="A137" s="55"/>
      <c r="B137" s="78"/>
      <c r="C137" s="43" t="s">
        <v>31</v>
      </c>
      <c r="D137" s="44"/>
      <c r="E137" s="44"/>
    </row>
    <row r="138" spans="1:5" ht="20.100000000000001" customHeight="1" x14ac:dyDescent="0.25">
      <c r="A138" s="55"/>
      <c r="B138" s="42">
        <v>1</v>
      </c>
      <c r="C138" s="79" t="s">
        <v>226</v>
      </c>
      <c r="D138" s="44"/>
      <c r="E138" s="44"/>
    </row>
    <row r="139" spans="1:5" ht="20.100000000000001" customHeight="1" x14ac:dyDescent="0.25">
      <c r="A139" s="55"/>
      <c r="B139" s="42">
        <v>1</v>
      </c>
      <c r="C139" s="80" t="s">
        <v>227</v>
      </c>
      <c r="D139" s="44"/>
      <c r="E139" s="44"/>
    </row>
    <row r="140" spans="1:5" ht="20.100000000000001" customHeight="1" x14ac:dyDescent="0.25">
      <c r="A140" s="55"/>
      <c r="B140" s="42">
        <v>1</v>
      </c>
      <c r="C140" s="80" t="s">
        <v>28</v>
      </c>
      <c r="D140" s="44"/>
      <c r="E140" s="44"/>
    </row>
    <row r="141" spans="1:5" ht="20.100000000000001" customHeight="1" x14ac:dyDescent="0.25">
      <c r="A141" s="55"/>
      <c r="B141" s="42">
        <v>1</v>
      </c>
      <c r="C141" s="80" t="s">
        <v>228</v>
      </c>
      <c r="D141" s="44"/>
      <c r="E141" s="44"/>
    </row>
    <row r="142" spans="1:5" ht="20.100000000000001" customHeight="1" x14ac:dyDescent="0.25">
      <c r="A142" s="55"/>
      <c r="B142" s="42">
        <v>1</v>
      </c>
      <c r="C142" s="80" t="s">
        <v>229</v>
      </c>
      <c r="D142" s="44"/>
      <c r="E142" s="44"/>
    </row>
    <row r="143" spans="1:5" ht="20.100000000000001" customHeight="1" x14ac:dyDescent="0.25">
      <c r="A143" s="55"/>
      <c r="B143" s="42">
        <v>1</v>
      </c>
      <c r="C143" s="80" t="s">
        <v>230</v>
      </c>
      <c r="D143" s="44"/>
      <c r="E143" s="44"/>
    </row>
    <row r="144" spans="1:5" ht="20.100000000000001" customHeight="1" x14ac:dyDescent="0.25">
      <c r="A144" s="55"/>
      <c r="B144" s="42">
        <v>3</v>
      </c>
      <c r="C144" s="80" t="s">
        <v>231</v>
      </c>
      <c r="D144" s="44"/>
      <c r="E144" s="44"/>
    </row>
    <row r="145" spans="1:5" ht="20.100000000000001" customHeight="1" x14ac:dyDescent="0.25">
      <c r="A145" s="55"/>
      <c r="B145" s="42">
        <v>1</v>
      </c>
      <c r="C145" s="80" t="s">
        <v>232</v>
      </c>
      <c r="D145" s="44"/>
      <c r="E145" s="44"/>
    </row>
    <row r="146" spans="1:5" ht="20.100000000000001" customHeight="1" x14ac:dyDescent="0.25">
      <c r="A146" s="55"/>
      <c r="B146" s="42">
        <v>2</v>
      </c>
      <c r="C146" s="80" t="s">
        <v>233</v>
      </c>
      <c r="D146" s="44"/>
      <c r="E146" s="44"/>
    </row>
    <row r="147" spans="1:5" ht="20.100000000000001" customHeight="1" x14ac:dyDescent="0.25">
      <c r="A147" s="55"/>
      <c r="B147" s="42">
        <v>3</v>
      </c>
      <c r="C147" s="80" t="s">
        <v>234</v>
      </c>
      <c r="D147" s="44"/>
      <c r="E147" s="44"/>
    </row>
    <row r="148" spans="1:5" ht="20.100000000000001" customHeight="1" x14ac:dyDescent="0.25">
      <c r="A148" s="55"/>
      <c r="B148" s="42">
        <v>1</v>
      </c>
      <c r="C148" s="80" t="s">
        <v>235</v>
      </c>
      <c r="D148" s="44"/>
      <c r="E148" s="44"/>
    </row>
    <row r="149" spans="1:5" ht="20.100000000000001" customHeight="1" x14ac:dyDescent="0.25">
      <c r="A149" s="55"/>
      <c r="B149" s="42">
        <v>1</v>
      </c>
      <c r="C149" s="80" t="s">
        <v>236</v>
      </c>
      <c r="D149" s="44"/>
      <c r="E149" s="44"/>
    </row>
    <row r="150" spans="1:5" ht="20.100000000000001" customHeight="1" x14ac:dyDescent="0.25">
      <c r="A150" s="55"/>
      <c r="B150" s="42">
        <v>1</v>
      </c>
      <c r="C150" s="80" t="s">
        <v>237</v>
      </c>
      <c r="D150" s="44"/>
      <c r="E150" s="44"/>
    </row>
    <row r="151" spans="1:5" ht="20.100000000000001" customHeight="1" x14ac:dyDescent="0.25">
      <c r="A151" s="55"/>
      <c r="B151" s="42">
        <v>1</v>
      </c>
      <c r="C151" s="80" t="s">
        <v>238</v>
      </c>
      <c r="D151" s="44"/>
      <c r="E151" s="44"/>
    </row>
    <row r="152" spans="1:5" ht="20.100000000000001" customHeight="1" x14ac:dyDescent="0.25">
      <c r="A152" s="55"/>
      <c r="B152" s="42"/>
      <c r="C152" s="80" t="s">
        <v>29</v>
      </c>
      <c r="D152" s="44"/>
      <c r="E152" s="44"/>
    </row>
    <row r="153" spans="1:5" ht="20.100000000000001" customHeight="1" x14ac:dyDescent="0.25">
      <c r="A153" s="55"/>
      <c r="B153" s="43">
        <f>SUM(B138:B152)</f>
        <v>19</v>
      </c>
      <c r="C153" s="81"/>
      <c r="D153" s="44"/>
      <c r="E153" s="44"/>
    </row>
    <row r="154" spans="1:5" ht="20.100000000000001" customHeight="1" x14ac:dyDescent="0.25">
      <c r="A154" s="55"/>
      <c r="B154" s="47">
        <v>1</v>
      </c>
      <c r="C154" s="58" t="s">
        <v>239</v>
      </c>
      <c r="D154" s="44"/>
      <c r="E154" s="44"/>
    </row>
    <row r="155" spans="1:5" ht="20.100000000000001" customHeight="1" x14ac:dyDescent="0.25">
      <c r="A155" s="55"/>
      <c r="B155" s="47">
        <v>1</v>
      </c>
      <c r="C155" s="58" t="s">
        <v>240</v>
      </c>
      <c r="D155" s="44"/>
      <c r="E155" s="44"/>
    </row>
    <row r="156" spans="1:5" ht="20.100000000000001" customHeight="1" x14ac:dyDescent="0.25">
      <c r="A156" s="55"/>
      <c r="B156" s="47">
        <v>2</v>
      </c>
      <c r="C156" s="58" t="s">
        <v>241</v>
      </c>
      <c r="D156" s="44"/>
      <c r="E156" s="44"/>
    </row>
    <row r="157" spans="1:5" ht="20.100000000000001" customHeight="1" x14ac:dyDescent="0.25">
      <c r="A157" s="55"/>
      <c r="B157" s="43">
        <f>SUM(B154:B156)</f>
        <v>4</v>
      </c>
      <c r="C157" s="57"/>
      <c r="D157" s="44"/>
      <c r="E157" s="44"/>
    </row>
    <row r="158" spans="1:5" ht="20.100000000000001" customHeight="1" x14ac:dyDescent="0.25">
      <c r="A158"/>
      <c r="B158"/>
      <c r="C158"/>
      <c r="D158" s="44"/>
      <c r="E158" s="44"/>
    </row>
    <row r="159" spans="1:5" ht="20.100000000000001" customHeight="1" x14ac:dyDescent="0.25">
      <c r="A159" s="27"/>
      <c r="B159" s="27"/>
      <c r="C159" s="27"/>
      <c r="D159" s="44"/>
      <c r="E159" s="44"/>
    </row>
    <row r="160" spans="1:5" ht="20.100000000000001" customHeight="1" thickBot="1" x14ac:dyDescent="0.3">
      <c r="A160" s="27" t="s">
        <v>32</v>
      </c>
      <c r="B160" s="27"/>
      <c r="C160" s="56"/>
      <c r="D160" s="44"/>
      <c r="E160" s="44"/>
    </row>
    <row r="161" spans="1:5" ht="20.100000000000001" customHeight="1" x14ac:dyDescent="0.25">
      <c r="A161" s="27"/>
      <c r="B161" s="27"/>
      <c r="C161" s="27"/>
      <c r="D161" s="44"/>
      <c r="E161" s="44"/>
    </row>
    <row r="162" spans="1:5" ht="20.100000000000001" customHeight="1" thickBot="1" x14ac:dyDescent="0.3">
      <c r="A162" s="27" t="s">
        <v>33</v>
      </c>
      <c r="B162" s="27"/>
      <c r="C162" s="56"/>
      <c r="D162" s="44"/>
      <c r="E162" s="44"/>
    </row>
    <row r="163" spans="1:5" ht="20.100000000000001" customHeight="1" x14ac:dyDescent="0.25">
      <c r="A163" s="27"/>
      <c r="B163" s="27"/>
      <c r="C163" s="27"/>
      <c r="D163" s="44"/>
      <c r="E163" s="44"/>
    </row>
    <row r="164" spans="1:5" ht="20.100000000000001" customHeight="1" x14ac:dyDescent="0.25">
      <c r="A164" s="27"/>
      <c r="B164" s="27"/>
      <c r="C164" s="27"/>
      <c r="D164" s="44"/>
      <c r="E164" s="48"/>
    </row>
    <row r="165" spans="1:5" ht="20.100000000000001" customHeight="1" thickBot="1" x14ac:dyDescent="0.3">
      <c r="A165" s="27" t="s">
        <v>34</v>
      </c>
      <c r="B165" s="27"/>
      <c r="C165" s="56"/>
      <c r="D165" s="44"/>
      <c r="E165" s="48"/>
    </row>
    <row r="166" spans="1:5" ht="20.100000000000001" customHeight="1" x14ac:dyDescent="0.25">
      <c r="A166" s="27"/>
      <c r="B166" s="27"/>
      <c r="C166" s="27"/>
      <c r="D166" s="27"/>
      <c r="E166" s="48"/>
    </row>
    <row r="167" spans="1:5" ht="20.100000000000001" customHeight="1" x14ac:dyDescent="0.25">
      <c r="A167" s="50"/>
      <c r="B167" s="50"/>
      <c r="C167" s="51"/>
      <c r="D167" s="27"/>
      <c r="E167" s="48"/>
    </row>
    <row r="168" spans="1:5" ht="20.100000000000001" customHeight="1" thickBot="1" x14ac:dyDescent="0.3">
      <c r="A168" s="27" t="s">
        <v>35</v>
      </c>
      <c r="B168" s="27"/>
      <c r="C168" s="56"/>
      <c r="D168" s="27"/>
      <c r="E168" s="48"/>
    </row>
    <row r="170" spans="1:5" ht="20.100000000000001" customHeight="1" thickBot="1" x14ac:dyDescent="0.3">
      <c r="A170" s="60" t="s">
        <v>42</v>
      </c>
      <c r="C170" s="59"/>
    </row>
  </sheetData>
  <mergeCells count="8">
    <mergeCell ref="A46:C46"/>
    <mergeCell ref="L5:M6"/>
    <mergeCell ref="A11:B11"/>
    <mergeCell ref="D2:E2"/>
    <mergeCell ref="C4:C5"/>
    <mergeCell ref="C2:C3"/>
    <mergeCell ref="D4:E4"/>
    <mergeCell ref="D5:E5"/>
  </mergeCells>
  <phoneticPr fontId="26" type="noConversion"/>
  <conditionalFormatting sqref="C24:C30">
    <cfRule type="duplicateValues" dxfId="2" priority="2"/>
  </conditionalFormatting>
  <conditionalFormatting sqref="C32:C50">
    <cfRule type="duplicateValues" dxfId="1" priority="4"/>
  </conditionalFormatting>
  <conditionalFormatting sqref="C80">
    <cfRule type="duplicateValues" dxfId="0" priority="1"/>
  </conditionalFormatting>
  <printOptions horizontalCentered="1"/>
  <pageMargins left="0.39370078740157483" right="0.39370078740157483" top="0.39370078740157483" bottom="0" header="0.31496062992125984" footer="0.31496062992125984"/>
  <pageSetup paperSize="9" scale="48" orientation="portrait" r:id="rId1"/>
  <headerFooter>
    <oddFooter>&amp;R&amp;"-,Negrita"&amp;14Pág. &amp;P de &amp;N</oddFooter>
  </headerFooter>
  <rowBreaks count="1" manualBreakCount="1">
    <brk id="84" max="4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ortomax</dc:creator>
  <cp:lastModifiedBy>ORTOMAX IMPLANTES ORTOPEDICOS</cp:lastModifiedBy>
  <cp:lastPrinted>2023-09-15T03:43:17Z</cp:lastPrinted>
  <dcterms:created xsi:type="dcterms:W3CDTF">2023-01-26T13:28:36Z</dcterms:created>
  <dcterms:modified xsi:type="dcterms:W3CDTF">2023-09-15T03:43:20Z</dcterms:modified>
</cp:coreProperties>
</file>